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4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dev-data\golf\ASGLM LGS\LGS_Application\"/>
    </mc:Choice>
  </mc:AlternateContent>
  <xr:revisionPtr revIDLastSave="0" documentId="13_ncr:1_{67D129CF-C315-4B7F-A989-80FEB20D48DB}" xr6:coauthVersionLast="47" xr6:coauthVersionMax="47" xr10:uidLastSave="{00000000-0000-0000-0000-000000000000}"/>
  <bookViews>
    <workbookView xWindow="-120" yWindow="-120" windowWidth="38640" windowHeight="21120" activeTab="1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Tour'!$D$9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K18" i="4" l="1"/>
  <c r="AJ18" i="4"/>
  <c r="AE18" i="4"/>
  <c r="AD18" i="4"/>
  <c r="AK20" i="4"/>
  <c r="AJ20" i="4"/>
  <c r="AE20" i="4"/>
  <c r="AD20" i="4"/>
  <c r="AK17" i="4"/>
  <c r="AJ17" i="4"/>
  <c r="AE17" i="4"/>
  <c r="AD17" i="4"/>
  <c r="AK19" i="4"/>
  <c r="AJ19" i="4"/>
  <c r="AE19" i="4"/>
  <c r="AD19" i="4"/>
  <c r="AK15" i="4"/>
  <c r="AJ15" i="4"/>
  <c r="AE15" i="4"/>
  <c r="AD15" i="4"/>
  <c r="AK16" i="4"/>
  <c r="AJ16" i="4"/>
  <c r="AE16" i="4"/>
  <c r="AD16" i="4"/>
  <c r="AK13" i="4"/>
  <c r="AJ13" i="4"/>
  <c r="AE13" i="4"/>
  <c r="AD13" i="4"/>
  <c r="AK14" i="4"/>
  <c r="AJ14" i="4"/>
  <c r="AE14" i="4"/>
  <c r="AD14" i="4"/>
  <c r="AK12" i="4"/>
  <c r="AJ12" i="4"/>
  <c r="AE12" i="4"/>
  <c r="AD12" i="4"/>
  <c r="AK11" i="4"/>
  <c r="AJ11" i="4"/>
  <c r="AE11" i="4"/>
  <c r="AD11" i="4"/>
  <c r="AK10" i="4"/>
  <c r="AJ10" i="4"/>
  <c r="AE10" i="4"/>
  <c r="AD10" i="4"/>
  <c r="AK9" i="4"/>
  <c r="AJ9" i="4"/>
  <c r="AE9" i="4"/>
  <c r="AD9" i="4"/>
  <c r="AK8" i="4"/>
  <c r="AJ8" i="4"/>
  <c r="AE8" i="4"/>
  <c r="AD8" i="4"/>
  <c r="AK7" i="4"/>
  <c r="AJ7" i="4"/>
  <c r="AE7" i="4"/>
  <c r="AD7" i="4"/>
  <c r="AK4" i="4"/>
  <c r="AJ4" i="4"/>
  <c r="AE4" i="4"/>
  <c r="AD4" i="4"/>
  <c r="AK6" i="4"/>
  <c r="AJ6" i="4"/>
  <c r="AE6" i="4"/>
  <c r="AD6" i="4"/>
  <c r="AK5" i="4"/>
  <c r="AJ5" i="4"/>
  <c r="AE5" i="4"/>
  <c r="AD5" i="4"/>
  <c r="AK18" i="5"/>
  <c r="AJ18" i="5"/>
  <c r="AE18" i="5"/>
  <c r="AD18" i="5"/>
  <c r="AK20" i="5"/>
  <c r="AJ20" i="5"/>
  <c r="AE20" i="5"/>
  <c r="AD20" i="5"/>
  <c r="AK17" i="5"/>
  <c r="AJ17" i="5"/>
  <c r="AE17" i="5"/>
  <c r="AD17" i="5"/>
  <c r="AK19" i="5"/>
  <c r="AJ19" i="5"/>
  <c r="AE19" i="5"/>
  <c r="AD19" i="5"/>
  <c r="AK15" i="5"/>
  <c r="AJ15" i="5"/>
  <c r="AE15" i="5"/>
  <c r="AD15" i="5"/>
  <c r="AK16" i="5"/>
  <c r="AJ16" i="5"/>
  <c r="AE16" i="5"/>
  <c r="AD16" i="5"/>
  <c r="AK13" i="5"/>
  <c r="AJ13" i="5"/>
  <c r="AE13" i="5"/>
  <c r="AD13" i="5"/>
  <c r="AK14" i="5"/>
  <c r="AJ14" i="5"/>
  <c r="AE14" i="5"/>
  <c r="AD14" i="5"/>
  <c r="AK12" i="5"/>
  <c r="AJ12" i="5"/>
  <c r="AE12" i="5"/>
  <c r="AD12" i="5"/>
  <c r="AK11" i="5"/>
  <c r="AJ11" i="5"/>
  <c r="AE11" i="5"/>
  <c r="AD11" i="5"/>
  <c r="AK10" i="5"/>
  <c r="AJ10" i="5"/>
  <c r="AE10" i="5"/>
  <c r="AD10" i="5"/>
  <c r="AK9" i="5"/>
  <c r="AJ9" i="5"/>
  <c r="AE9" i="5"/>
  <c r="AD9" i="5"/>
  <c r="AK8" i="5"/>
  <c r="AJ8" i="5"/>
  <c r="AE8" i="5"/>
  <c r="AD8" i="5"/>
  <c r="AK7" i="5"/>
  <c r="AJ7" i="5"/>
  <c r="AE7" i="5"/>
  <c r="AD7" i="5"/>
  <c r="AK4" i="5"/>
  <c r="AJ4" i="5"/>
  <c r="AE4" i="5"/>
  <c r="AD4" i="5"/>
  <c r="AK6" i="5"/>
  <c r="AJ6" i="5"/>
  <c r="AE6" i="5"/>
  <c r="AD6" i="5"/>
  <c r="AK5" i="5"/>
  <c r="AJ5" i="5"/>
  <c r="AE5" i="5"/>
  <c r="AD5" i="5"/>
  <c r="AE21" i="5"/>
  <c r="AK21" i="5" s="1"/>
  <c r="AD21" i="5"/>
  <c r="AJ21" i="5" s="1"/>
  <c r="AE22" i="5"/>
  <c r="AK22" i="5" s="1"/>
  <c r="AD22" i="5"/>
  <c r="AJ22" i="5" s="1"/>
  <c r="AE42" i="4" l="1"/>
  <c r="AK42" i="4" s="1"/>
  <c r="AD42" i="4"/>
  <c r="AJ42" i="4" s="1"/>
  <c r="AE41" i="4"/>
  <c r="AK41" i="4" s="1"/>
  <c r="AD41" i="4"/>
  <c r="AJ41" i="4" s="1"/>
  <c r="AE40" i="4"/>
  <c r="AK40" i="4" s="1"/>
  <c r="AD40" i="4"/>
  <c r="AJ40" i="4" s="1"/>
  <c r="AE39" i="4"/>
  <c r="AK39" i="4" s="1"/>
  <c r="AD39" i="4"/>
  <c r="AJ39" i="4" s="1"/>
  <c r="AE37" i="4"/>
  <c r="AK37" i="4" s="1"/>
  <c r="AD37" i="4"/>
  <c r="AJ37" i="4" s="1"/>
  <c r="AE34" i="4"/>
  <c r="AK34" i="4" s="1"/>
  <c r="AD34" i="4"/>
  <c r="AJ34" i="4" s="1"/>
  <c r="AE38" i="4"/>
  <c r="AK38" i="4" s="1"/>
  <c r="AD38" i="4"/>
  <c r="AJ38" i="4" s="1"/>
  <c r="AE36" i="4"/>
  <c r="AK36" i="4" s="1"/>
  <c r="AD36" i="4"/>
  <c r="AJ36" i="4" s="1"/>
  <c r="AE35" i="4"/>
  <c r="AK35" i="4" s="1"/>
  <c r="AD35" i="4"/>
  <c r="AJ35" i="4" s="1"/>
  <c r="AE33" i="4"/>
  <c r="AK33" i="4" s="1"/>
  <c r="AD33" i="4"/>
  <c r="AJ33" i="4" s="1"/>
  <c r="AE32" i="4"/>
  <c r="AK32" i="4" s="1"/>
  <c r="AD32" i="4"/>
  <c r="AJ32" i="4" s="1"/>
  <c r="AE31" i="4"/>
  <c r="AK31" i="4" s="1"/>
  <c r="AD31" i="4"/>
  <c r="AJ31" i="4" s="1"/>
  <c r="AE30" i="4"/>
  <c r="AK30" i="4" s="1"/>
  <c r="AD30" i="4"/>
  <c r="AJ30" i="4" s="1"/>
  <c r="AE29" i="4"/>
  <c r="AK29" i="4" s="1"/>
  <c r="AD29" i="4"/>
  <c r="AJ29" i="4" s="1"/>
  <c r="AE25" i="4"/>
  <c r="AK25" i="4" s="1"/>
  <c r="AD25" i="4"/>
  <c r="AJ25" i="4" s="1"/>
  <c r="AE28" i="4"/>
  <c r="AK28" i="4" s="1"/>
  <c r="AD28" i="4"/>
  <c r="AJ28" i="4" s="1"/>
  <c r="AE24" i="4"/>
  <c r="AK24" i="4" s="1"/>
  <c r="AD24" i="4"/>
  <c r="AJ24" i="4" s="1"/>
  <c r="AE26" i="4"/>
  <c r="AK26" i="4" s="1"/>
  <c r="AD26" i="4"/>
  <c r="AJ26" i="4" s="1"/>
  <c r="AE27" i="4"/>
  <c r="AK27" i="4" s="1"/>
  <c r="AD27" i="4"/>
  <c r="AJ27" i="4" s="1"/>
  <c r="AE21" i="4"/>
  <c r="AK21" i="4" s="1"/>
  <c r="AD21" i="4"/>
  <c r="AJ21" i="4" s="1"/>
  <c r="AE23" i="4"/>
  <c r="AK23" i="4" s="1"/>
  <c r="AD23" i="4"/>
  <c r="AJ23" i="4" s="1"/>
  <c r="AE22" i="4"/>
  <c r="AK22" i="4" s="1"/>
  <c r="AD22" i="4"/>
  <c r="AJ22" i="4" s="1"/>
  <c r="AE67" i="4"/>
  <c r="AK67" i="4" s="1"/>
  <c r="AD67" i="4"/>
  <c r="AJ67" i="4" s="1"/>
  <c r="AE66" i="4"/>
  <c r="AK66" i="4" s="1"/>
  <c r="AD66" i="4"/>
  <c r="AJ66" i="4" s="1"/>
  <c r="AE65" i="4"/>
  <c r="AK65" i="4" s="1"/>
  <c r="AD65" i="4"/>
  <c r="AJ65" i="4" s="1"/>
  <c r="AE64" i="4"/>
  <c r="AK64" i="4" s="1"/>
  <c r="AD64" i="4"/>
  <c r="AJ64" i="4" s="1"/>
  <c r="AE63" i="4"/>
  <c r="AK63" i="4" s="1"/>
  <c r="AD63" i="4"/>
  <c r="AJ63" i="4" s="1"/>
  <c r="AE62" i="4"/>
  <c r="AK62" i="4" s="1"/>
  <c r="AD62" i="4"/>
  <c r="AJ62" i="4" s="1"/>
  <c r="AE61" i="4"/>
  <c r="AK61" i="4" s="1"/>
  <c r="AD61" i="4"/>
  <c r="AJ61" i="4" s="1"/>
  <c r="AE60" i="4"/>
  <c r="AK60" i="4" s="1"/>
  <c r="AD60" i="4"/>
  <c r="AJ60" i="4" s="1"/>
  <c r="AE59" i="4"/>
  <c r="AK59" i="4" s="1"/>
  <c r="AD59" i="4"/>
  <c r="AJ59" i="4" s="1"/>
  <c r="AE58" i="4"/>
  <c r="AK58" i="4" s="1"/>
  <c r="AD58" i="4"/>
  <c r="AJ58" i="4" s="1"/>
  <c r="AE57" i="4"/>
  <c r="AK57" i="4" s="1"/>
  <c r="AD57" i="4"/>
  <c r="AJ57" i="4" s="1"/>
  <c r="AE56" i="4"/>
  <c r="AK56" i="4" s="1"/>
  <c r="AD56" i="4"/>
  <c r="AJ56" i="4" s="1"/>
  <c r="AE55" i="4"/>
  <c r="AK55" i="4" s="1"/>
  <c r="AD55" i="4"/>
  <c r="AJ55" i="4" s="1"/>
  <c r="AE54" i="4"/>
  <c r="AK54" i="4" s="1"/>
  <c r="AD54" i="4"/>
  <c r="AJ54" i="4" s="1"/>
  <c r="AE53" i="4"/>
  <c r="AK53" i="4" s="1"/>
  <c r="AD53" i="4"/>
  <c r="AJ53" i="4" s="1"/>
  <c r="AE52" i="4"/>
  <c r="AK52" i="4" s="1"/>
  <c r="AD52" i="4"/>
  <c r="AJ52" i="4" s="1"/>
  <c r="AE51" i="4"/>
  <c r="AK51" i="4" s="1"/>
  <c r="AD51" i="4"/>
  <c r="AJ51" i="4" s="1"/>
  <c r="AE50" i="4"/>
  <c r="AK50" i="4" s="1"/>
  <c r="AD50" i="4"/>
  <c r="AJ50" i="4" s="1"/>
  <c r="AE49" i="4"/>
  <c r="AK49" i="4" s="1"/>
  <c r="AD49" i="4"/>
  <c r="AJ49" i="4" s="1"/>
  <c r="AE48" i="4"/>
  <c r="AK48" i="4" s="1"/>
  <c r="AD48" i="4"/>
  <c r="AJ48" i="4" s="1"/>
  <c r="AE47" i="4"/>
  <c r="AK47" i="4" s="1"/>
  <c r="AD47" i="4"/>
  <c r="AJ47" i="4" s="1"/>
  <c r="AE46" i="4"/>
  <c r="AK46" i="4" s="1"/>
  <c r="AD46" i="4"/>
  <c r="AJ46" i="4" s="1"/>
  <c r="AE45" i="4"/>
  <c r="AK45" i="4" s="1"/>
  <c r="AD45" i="4"/>
  <c r="AJ45" i="4" s="1"/>
  <c r="AE44" i="4"/>
  <c r="AK44" i="4" s="1"/>
  <c r="AD44" i="4"/>
  <c r="AJ44" i="4" s="1"/>
  <c r="AE43" i="4"/>
  <c r="AK43" i="4" s="1"/>
  <c r="AD43" i="4"/>
  <c r="AJ43" i="4" s="1"/>
  <c r="AE88" i="4" l="1"/>
  <c r="AK88" i="4" s="1"/>
  <c r="AD88" i="4"/>
  <c r="AJ88" i="4" s="1"/>
  <c r="AE94" i="4"/>
  <c r="AK94" i="4" s="1"/>
  <c r="AD94" i="4"/>
  <c r="AJ94" i="4" s="1"/>
  <c r="AE85" i="4"/>
  <c r="AK85" i="4" s="1"/>
  <c r="AD85" i="4"/>
  <c r="AJ85" i="4" s="1"/>
  <c r="AE103" i="4"/>
  <c r="AK103" i="4" s="1"/>
  <c r="AD103" i="4"/>
  <c r="AJ103" i="4" s="1"/>
  <c r="AE102" i="4"/>
  <c r="AK102" i="4" s="1"/>
  <c r="AD102" i="4"/>
  <c r="AJ102" i="4" s="1"/>
  <c r="AE95" i="4"/>
  <c r="AK95" i="4" s="1"/>
  <c r="AD95" i="4"/>
  <c r="AJ95" i="4" s="1"/>
  <c r="AE99" i="4"/>
  <c r="AK99" i="4" s="1"/>
  <c r="AD99" i="4"/>
  <c r="AJ99" i="4" s="1"/>
  <c r="AE84" i="4"/>
  <c r="AK84" i="4" s="1"/>
  <c r="AD84" i="4"/>
  <c r="AJ84" i="4" s="1"/>
  <c r="AE92" i="4"/>
  <c r="AK92" i="4" s="1"/>
  <c r="AD92" i="4"/>
  <c r="AJ92" i="4" s="1"/>
  <c r="AE91" i="4"/>
  <c r="AK91" i="4" s="1"/>
  <c r="AD91" i="4"/>
  <c r="AJ91" i="4" s="1"/>
  <c r="AE98" i="4"/>
  <c r="AK98" i="4" s="1"/>
  <c r="AD98" i="4"/>
  <c r="AJ98" i="4" s="1"/>
  <c r="AE89" i="4"/>
  <c r="AK89" i="4" s="1"/>
  <c r="AD89" i="4"/>
  <c r="AJ89" i="4" s="1"/>
  <c r="AE101" i="4"/>
  <c r="AK101" i="4" s="1"/>
  <c r="AD101" i="4"/>
  <c r="AJ101" i="4" s="1"/>
  <c r="AE87" i="4"/>
  <c r="AK87" i="4" s="1"/>
  <c r="AD87" i="4"/>
  <c r="AJ87" i="4" s="1"/>
  <c r="AE72" i="4"/>
  <c r="AK72" i="4" s="1"/>
  <c r="AD72" i="4"/>
  <c r="AJ72" i="4" s="1"/>
  <c r="AE100" i="4"/>
  <c r="AK100" i="4" s="1"/>
  <c r="AD100" i="4"/>
  <c r="AJ100" i="4" s="1"/>
  <c r="AE83" i="4"/>
  <c r="AK83" i="4" s="1"/>
  <c r="AD83" i="4"/>
  <c r="AJ83" i="4" s="1"/>
  <c r="AE97" i="4"/>
  <c r="AK97" i="4" s="1"/>
  <c r="AD97" i="4"/>
  <c r="AJ97" i="4" s="1"/>
  <c r="AE80" i="4"/>
  <c r="AK80" i="4" s="1"/>
  <c r="AD80" i="4"/>
  <c r="AJ80" i="4" s="1"/>
  <c r="AE96" i="4"/>
  <c r="AK96" i="4" s="1"/>
  <c r="AD96" i="4"/>
  <c r="AJ96" i="4" s="1"/>
  <c r="AE93" i="4"/>
  <c r="AK93" i="4" s="1"/>
  <c r="AD93" i="4"/>
  <c r="AJ93" i="4" s="1"/>
  <c r="AE70" i="4"/>
  <c r="AK70" i="4" s="1"/>
  <c r="AD70" i="4"/>
  <c r="AJ70" i="4" s="1"/>
  <c r="AE90" i="4"/>
  <c r="AK90" i="4" s="1"/>
  <c r="AD90" i="4"/>
  <c r="AJ90" i="4" s="1"/>
  <c r="AE75" i="4"/>
  <c r="AK75" i="4" s="1"/>
  <c r="AD75" i="4"/>
  <c r="AJ75" i="4" s="1"/>
  <c r="AE81" i="4"/>
  <c r="AK81" i="4" s="1"/>
  <c r="AD81" i="4"/>
  <c r="AJ81" i="4" s="1"/>
  <c r="AE86" i="4"/>
  <c r="AK86" i="4" s="1"/>
  <c r="AD86" i="4"/>
  <c r="AJ86" i="4" s="1"/>
  <c r="AE82" i="4"/>
  <c r="AK82" i="4" s="1"/>
  <c r="AD82" i="4"/>
  <c r="AJ82" i="4" s="1"/>
  <c r="AE79" i="4"/>
  <c r="AK79" i="4" s="1"/>
  <c r="AD79" i="4"/>
  <c r="AJ79" i="4" s="1"/>
  <c r="AE78" i="4"/>
  <c r="AK78" i="4" s="1"/>
  <c r="AD78" i="4"/>
  <c r="AJ78" i="4" s="1"/>
  <c r="AE77" i="4"/>
  <c r="AK77" i="4" s="1"/>
  <c r="AD77" i="4"/>
  <c r="AJ77" i="4" s="1"/>
  <c r="AE68" i="4"/>
  <c r="AK68" i="4" s="1"/>
  <c r="AD68" i="4"/>
  <c r="AJ68" i="4" s="1"/>
  <c r="AE76" i="4"/>
  <c r="AK76" i="4" s="1"/>
  <c r="AD76" i="4"/>
  <c r="AJ76" i="4" s="1"/>
  <c r="AE74" i="4"/>
  <c r="AK74" i="4" s="1"/>
  <c r="AD74" i="4"/>
  <c r="AJ74" i="4" s="1"/>
  <c r="AE73" i="4"/>
  <c r="AK73" i="4" s="1"/>
  <c r="AD73" i="4"/>
  <c r="AJ73" i="4" s="1"/>
  <c r="AE71" i="4"/>
  <c r="AK71" i="4" s="1"/>
  <c r="AD71" i="4"/>
  <c r="AJ71" i="4" s="1"/>
  <c r="AE69" i="4"/>
  <c r="AK69" i="4" s="1"/>
  <c r="AD69" i="4"/>
  <c r="AJ69" i="4" s="1"/>
  <c r="AE25" i="5"/>
  <c r="AK25" i="5" s="1"/>
  <c r="AD25" i="5"/>
  <c r="AJ25" i="5" s="1"/>
  <c r="AE26" i="5"/>
  <c r="AK26" i="5" s="1"/>
  <c r="AD26" i="5"/>
  <c r="AJ26" i="5" s="1"/>
  <c r="AE23" i="5"/>
  <c r="AK23" i="5" s="1"/>
  <c r="AD23" i="5"/>
  <c r="AJ23" i="5" s="1"/>
  <c r="AE160" i="4"/>
  <c r="AK160" i="4" s="1"/>
  <c r="AD160" i="4"/>
  <c r="AJ160" i="4" s="1"/>
  <c r="AE105" i="4"/>
  <c r="AK105" i="4" s="1"/>
  <c r="AD105" i="4"/>
  <c r="AJ105" i="4" s="1"/>
  <c r="AE131" i="4"/>
  <c r="AK131" i="4" s="1"/>
  <c r="AD131" i="4"/>
  <c r="AJ131" i="4" s="1"/>
  <c r="AE137" i="4"/>
  <c r="AK137" i="4" s="1"/>
  <c r="AD137" i="4"/>
  <c r="AJ137" i="4" s="1"/>
  <c r="AE155" i="4"/>
  <c r="AK155" i="4" s="1"/>
  <c r="AD155" i="4"/>
  <c r="AJ155" i="4" s="1"/>
  <c r="AE113" i="4"/>
  <c r="AK113" i="4" s="1"/>
  <c r="AD113" i="4"/>
  <c r="AJ113" i="4" s="1"/>
  <c r="AE117" i="4"/>
  <c r="AK117" i="4" s="1"/>
  <c r="AD117" i="4"/>
  <c r="AJ117" i="4" s="1"/>
  <c r="AE121" i="4"/>
  <c r="AK121" i="4" s="1"/>
  <c r="AD121" i="4"/>
  <c r="AJ121" i="4" s="1"/>
  <c r="AE175" i="4"/>
  <c r="AK175" i="4" s="1"/>
  <c r="AD175" i="4"/>
  <c r="AJ175" i="4" s="1"/>
  <c r="AE109" i="4"/>
  <c r="AK109" i="4" s="1"/>
  <c r="AD109" i="4"/>
  <c r="AJ109" i="4" s="1"/>
  <c r="AE104" i="4"/>
  <c r="AK104" i="4" s="1"/>
  <c r="AD104" i="4"/>
  <c r="AJ104" i="4" s="1"/>
  <c r="AE166" i="4"/>
  <c r="AK166" i="4" s="1"/>
  <c r="AD166" i="4"/>
  <c r="AJ166" i="4" s="1"/>
  <c r="AE143" i="4"/>
  <c r="AK143" i="4" s="1"/>
  <c r="AD143" i="4"/>
  <c r="AJ143" i="4" s="1"/>
  <c r="AE128" i="4"/>
  <c r="AK128" i="4" s="1"/>
  <c r="AD128" i="4"/>
  <c r="AJ128" i="4" s="1"/>
  <c r="AE135" i="4"/>
  <c r="AK135" i="4" s="1"/>
  <c r="AD135" i="4"/>
  <c r="AJ135" i="4" s="1"/>
  <c r="AE141" i="4"/>
  <c r="AK141" i="4" s="1"/>
  <c r="AD141" i="4"/>
  <c r="AJ141" i="4" s="1"/>
  <c r="AE114" i="4"/>
  <c r="AK114" i="4" s="1"/>
  <c r="AD114" i="4"/>
  <c r="AJ114" i="4" s="1"/>
  <c r="AE152" i="4"/>
  <c r="AK152" i="4" s="1"/>
  <c r="AD152" i="4"/>
  <c r="AJ152" i="4" s="1"/>
  <c r="AE171" i="4"/>
  <c r="AK171" i="4" s="1"/>
  <c r="AD171" i="4"/>
  <c r="AJ171" i="4" s="1"/>
  <c r="AE140" i="4"/>
  <c r="AK140" i="4" s="1"/>
  <c r="AD140" i="4"/>
  <c r="AJ140" i="4" s="1"/>
  <c r="AE158" i="4"/>
  <c r="AK158" i="4" s="1"/>
  <c r="AD158" i="4"/>
  <c r="AJ158" i="4" s="1"/>
  <c r="AE110" i="4"/>
  <c r="AK110" i="4" s="1"/>
  <c r="AD110" i="4"/>
  <c r="AJ110" i="4" s="1"/>
  <c r="AE161" i="4"/>
  <c r="AK161" i="4" s="1"/>
  <c r="AD161" i="4"/>
  <c r="AJ161" i="4" s="1"/>
  <c r="AE124" i="4"/>
  <c r="AK124" i="4" s="1"/>
  <c r="AD124" i="4"/>
  <c r="AJ124" i="4" s="1"/>
  <c r="AE163" i="4"/>
  <c r="AK163" i="4" s="1"/>
  <c r="AD163" i="4"/>
  <c r="AJ163" i="4" s="1"/>
  <c r="AE151" i="4"/>
  <c r="AK151" i="4" s="1"/>
  <c r="AD151" i="4"/>
  <c r="AJ151" i="4" s="1"/>
  <c r="AE146" i="4"/>
  <c r="AK146" i="4" s="1"/>
  <c r="AD146" i="4"/>
  <c r="AJ146" i="4" s="1"/>
  <c r="AE167" i="4"/>
  <c r="AK167" i="4" s="1"/>
  <c r="AD167" i="4"/>
  <c r="AJ167" i="4" s="1"/>
  <c r="AE129" i="4"/>
  <c r="AK129" i="4" s="1"/>
  <c r="AD129" i="4"/>
  <c r="AJ129" i="4" s="1"/>
  <c r="AE142" i="4"/>
  <c r="AK142" i="4" s="1"/>
  <c r="AD142" i="4"/>
  <c r="AJ142" i="4" s="1"/>
  <c r="AE138" i="4"/>
  <c r="AK138" i="4" s="1"/>
  <c r="AD138" i="4"/>
  <c r="AJ138" i="4" s="1"/>
  <c r="AE111" i="4"/>
  <c r="AK111" i="4" s="1"/>
  <c r="AD111" i="4"/>
  <c r="AJ111" i="4" s="1"/>
  <c r="AE115" i="4"/>
  <c r="AK115" i="4" s="1"/>
  <c r="AD115" i="4"/>
  <c r="AJ115" i="4" s="1"/>
  <c r="AE130" i="4"/>
  <c r="AK130" i="4" s="1"/>
  <c r="AD130" i="4"/>
  <c r="AJ130" i="4" s="1"/>
  <c r="AE153" i="4"/>
  <c r="AK153" i="4" s="1"/>
  <c r="AD153" i="4"/>
  <c r="AJ153" i="4" s="1"/>
  <c r="AE108" i="4"/>
  <c r="AK108" i="4" s="1"/>
  <c r="AD108" i="4"/>
  <c r="AJ108" i="4" s="1"/>
  <c r="AE147" i="4"/>
  <c r="AK147" i="4" s="1"/>
  <c r="AD147" i="4"/>
  <c r="AJ147" i="4" s="1"/>
  <c r="AE156" i="4"/>
  <c r="AK156" i="4" s="1"/>
  <c r="AD156" i="4"/>
  <c r="AJ156" i="4" s="1"/>
  <c r="AE170" i="4"/>
  <c r="AK170" i="4" s="1"/>
  <c r="AD170" i="4"/>
  <c r="AJ170" i="4" s="1"/>
  <c r="AE169" i="4"/>
  <c r="AK169" i="4" s="1"/>
  <c r="AD169" i="4"/>
  <c r="AJ169" i="4" s="1"/>
  <c r="AE119" i="4"/>
  <c r="AK119" i="4" s="1"/>
  <c r="AD119" i="4"/>
  <c r="AJ119" i="4" s="1"/>
  <c r="AE174" i="4"/>
  <c r="AK174" i="4" s="1"/>
  <c r="AD174" i="4"/>
  <c r="AJ174" i="4" s="1"/>
  <c r="AE144" i="4"/>
  <c r="AK144" i="4" s="1"/>
  <c r="AD144" i="4"/>
  <c r="AJ144" i="4" s="1"/>
  <c r="AE157" i="4"/>
  <c r="AK157" i="4" s="1"/>
  <c r="AD157" i="4"/>
  <c r="AJ157" i="4" s="1"/>
  <c r="AE120" i="4"/>
  <c r="AK120" i="4" s="1"/>
  <c r="AD120" i="4"/>
  <c r="AJ120" i="4" s="1"/>
  <c r="AE136" i="4"/>
  <c r="AK136" i="4" s="1"/>
  <c r="AD136" i="4"/>
  <c r="AJ136" i="4" s="1"/>
  <c r="AE159" i="4"/>
  <c r="AK159" i="4" s="1"/>
  <c r="AD159" i="4"/>
  <c r="AJ159" i="4" s="1"/>
  <c r="AE132" i="4"/>
  <c r="AK132" i="4" s="1"/>
  <c r="AD132" i="4"/>
  <c r="AJ132" i="4" s="1"/>
  <c r="AE123" i="4"/>
  <c r="AK123" i="4" s="1"/>
  <c r="AD123" i="4"/>
  <c r="AJ123" i="4" s="1"/>
  <c r="AE122" i="4"/>
  <c r="AK122" i="4" s="1"/>
  <c r="AD122" i="4"/>
  <c r="AJ122" i="4" s="1"/>
  <c r="AE127" i="4"/>
  <c r="AK127" i="4" s="1"/>
  <c r="AD127" i="4"/>
  <c r="AJ127" i="4" s="1"/>
  <c r="AE149" i="4"/>
  <c r="AK149" i="4" s="1"/>
  <c r="AD149" i="4"/>
  <c r="AJ149" i="4" s="1"/>
  <c r="AE145" i="4"/>
  <c r="AK145" i="4" s="1"/>
  <c r="AD145" i="4"/>
  <c r="AJ145" i="4" s="1"/>
  <c r="AE168" i="4"/>
  <c r="AK168" i="4" s="1"/>
  <c r="AD168" i="4"/>
  <c r="AJ168" i="4" s="1"/>
  <c r="AE173" i="4"/>
  <c r="AK173" i="4" s="1"/>
  <c r="AD173" i="4"/>
  <c r="AJ173" i="4" s="1"/>
  <c r="AE150" i="4"/>
  <c r="AK150" i="4" s="1"/>
  <c r="AD150" i="4"/>
  <c r="AJ150" i="4" s="1"/>
  <c r="AE164" i="4"/>
  <c r="AK164" i="4" s="1"/>
  <c r="AD164" i="4"/>
  <c r="AJ164" i="4" s="1"/>
  <c r="AE165" i="4"/>
  <c r="AK165" i="4" s="1"/>
  <c r="AD165" i="4"/>
  <c r="AJ165" i="4" s="1"/>
  <c r="AE118" i="4"/>
  <c r="AK118" i="4" s="1"/>
  <c r="AD118" i="4"/>
  <c r="AJ118" i="4" s="1"/>
  <c r="AE172" i="4"/>
  <c r="AK172" i="4" s="1"/>
  <c r="AD172" i="4"/>
  <c r="AJ172" i="4" s="1"/>
  <c r="AE112" i="4"/>
  <c r="AK112" i="4" s="1"/>
  <c r="AD112" i="4"/>
  <c r="AJ112" i="4" s="1"/>
  <c r="AE125" i="4"/>
  <c r="AK125" i="4" s="1"/>
  <c r="AD125" i="4"/>
  <c r="AJ125" i="4" s="1"/>
  <c r="AE107" i="4"/>
  <c r="AK107" i="4" s="1"/>
  <c r="AD107" i="4"/>
  <c r="AJ107" i="4" s="1"/>
  <c r="AE133" i="4"/>
  <c r="AK133" i="4" s="1"/>
  <c r="AD133" i="4"/>
  <c r="AJ133" i="4" s="1"/>
  <c r="AE106" i="4"/>
  <c r="AK106" i="4" s="1"/>
  <c r="AD106" i="4"/>
  <c r="AJ106" i="4" s="1"/>
  <c r="AE116" i="4"/>
  <c r="AK116" i="4" s="1"/>
  <c r="AD116" i="4"/>
  <c r="AJ116" i="4" s="1"/>
  <c r="AE154" i="4"/>
  <c r="AK154" i="4" s="1"/>
  <c r="AD154" i="4"/>
  <c r="AJ154" i="4" s="1"/>
  <c r="AE148" i="4"/>
  <c r="AK148" i="4" s="1"/>
  <c r="AD148" i="4"/>
  <c r="AJ148" i="4" s="1"/>
  <c r="AE126" i="4"/>
  <c r="AK126" i="4" s="1"/>
  <c r="AD126" i="4"/>
  <c r="AJ126" i="4" s="1"/>
  <c r="AE162" i="4"/>
  <c r="AK162" i="4" s="1"/>
  <c r="AD162" i="4"/>
  <c r="AJ162" i="4" s="1"/>
  <c r="AE134" i="4"/>
  <c r="AK134" i="4" s="1"/>
  <c r="AD134" i="4"/>
  <c r="AJ134" i="4" s="1"/>
  <c r="AE139" i="4"/>
  <c r="AK139" i="4" s="1"/>
  <c r="AD139" i="4"/>
  <c r="AJ139" i="4" s="1"/>
  <c r="AE24" i="5"/>
  <c r="AK24" i="5" s="1"/>
  <c r="AD24" i="5"/>
  <c r="AJ24" i="5" s="1"/>
  <c r="E13" i="1"/>
  <c r="P6" i="1" s="1"/>
  <c r="D3" i="1"/>
  <c r="AE28" i="5"/>
  <c r="AK28" i="5" s="1"/>
  <c r="AD28" i="5"/>
  <c r="AJ28" i="5" s="1"/>
  <c r="AE34" i="5"/>
  <c r="AK34" i="5" s="1"/>
  <c r="AD34" i="5"/>
  <c r="AJ34" i="5" s="1"/>
  <c r="AE27" i="5"/>
  <c r="AK27" i="5" s="1"/>
  <c r="AD27" i="5"/>
  <c r="AJ27" i="5" s="1"/>
  <c r="AE31" i="5"/>
  <c r="AK31" i="5" s="1"/>
  <c r="AD31" i="5"/>
  <c r="AJ31" i="5" s="1"/>
  <c r="AE32" i="5"/>
  <c r="AK32" i="5" s="1"/>
  <c r="AD32" i="5"/>
  <c r="AJ32" i="5" s="1"/>
  <c r="AE29" i="5"/>
  <c r="AK29" i="5" s="1"/>
  <c r="AD29" i="5"/>
  <c r="AJ29" i="5" s="1"/>
  <c r="AE179" i="4"/>
  <c r="AK179" i="4" s="1"/>
  <c r="AD179" i="4"/>
  <c r="AJ179" i="4" s="1"/>
  <c r="AE176" i="4"/>
  <c r="AK176" i="4" s="1"/>
  <c r="AD176" i="4"/>
  <c r="AJ176" i="4" s="1"/>
  <c r="AE178" i="4"/>
  <c r="AK178" i="4" s="1"/>
  <c r="AD178" i="4"/>
  <c r="AJ178" i="4" s="1"/>
  <c r="AE177" i="4"/>
  <c r="AK177" i="4" s="1"/>
  <c r="AD177" i="4"/>
  <c r="AJ177" i="4" s="1"/>
  <c r="AE30" i="5"/>
  <c r="AK30" i="5" s="1"/>
  <c r="AD30" i="5"/>
  <c r="AJ30" i="5" s="1"/>
  <c r="AE33" i="5"/>
  <c r="AK33" i="5" s="1"/>
  <c r="AD33" i="5"/>
  <c r="AJ33" i="5" s="1"/>
  <c r="AE36" i="5"/>
  <c r="AK36" i="5" s="1"/>
  <c r="AD36" i="5"/>
  <c r="AJ36" i="5" s="1"/>
  <c r="AE35" i="5"/>
  <c r="AK35" i="5" s="1"/>
  <c r="AD35" i="5"/>
  <c r="AJ35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K46" i="5" s="1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0" i="4"/>
  <c r="AK180" i="4" s="1"/>
  <c r="AE181" i="4"/>
  <c r="AK181" i="4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0" i="4"/>
  <c r="AJ180" i="4" s="1"/>
  <c r="AD181" i="4"/>
  <c r="AJ181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B2" i="5"/>
  <c r="B2" i="4"/>
  <c r="U12" i="1"/>
  <c r="U11" i="1"/>
  <c r="U10" i="1"/>
  <c r="U9" i="1"/>
  <c r="U8" i="1"/>
  <c r="K3" i="1"/>
  <c r="E3" i="1"/>
  <c r="B3" i="1"/>
  <c r="M3" i="1" l="1"/>
  <c r="P9" i="1"/>
  <c r="P7" i="1"/>
  <c r="P8" i="1"/>
</calcChain>
</file>

<file path=xl/sharedStrings.xml><?xml version="1.0" encoding="utf-8"?>
<sst xmlns="http://schemas.openxmlformats.org/spreadsheetml/2006/main" count="376" uniqueCount="125">
  <si>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</si>
  <si>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</si>
  <si>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</si>
  <si>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</si>
  <si>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</si>
  <si>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</si>
  <si>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</si>
  <si>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</si>
  <si>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</si>
  <si>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</si>
  <si>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</si>
  <si>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</si>
  <si>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</si>
  <si>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</si>
  <si>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</si>
  <si>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</si>
  <si>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</si>
  <si>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</si>
  <si>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</si>
  <si>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</si>
  <si>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</si>
  <si>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</si>
  <si>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</si>
  <si>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</si>
  <si>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</si>
  <si>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</si>
  <si>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</si>
  <si>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</si>
  <si>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</si>
  <si>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</si>
  <si>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</si>
  <si>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</si>
  <si>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</si>
  <si>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</si>
  <si>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</si>
  <si>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</si>
  <si>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</si>
  <si>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</si>
  <si>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</si>
  <si>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</si>
  <si>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</si>
  <si>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</si>
  <si>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</si>
  <si>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</si>
  <si>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</si>
  <si>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</si>
  <si>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</si>
  <si>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</si>
  <si>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</si>
  <si>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</si>
  <si>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</si>
  <si>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</si>
  <si>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</si>
  <si>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</si>
  <si>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</si>
  <si>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</si>
  <si>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</si>
  <si>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</si>
  <si>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</si>
  <si>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</si>
  <si>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</si>
  <si>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</si>
  <si>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</si>
  <si>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</si>
  <si>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</si>
  <si>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</si>
  <si>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</si>
  <si>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</si>
  <si>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</si>
  <si>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</si>
  <si>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</si>
  <si>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</si>
  <si>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</si>
  <si>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</si>
  <si>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</si>
  <si>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</si>
  <si>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</si>
  <si>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</si>
  <si>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</si>
  <si>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</si>
  <si>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</si>
  <si>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</si>
  <si>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</si>
  <si>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</si>
  <si>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</si>
  <si>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</si>
  <si>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</si>
  <si>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</si>
  <si>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</si>
  <si>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Nan</t>
  </si>
  <si>
    <t>Colonne1</t>
  </si>
  <si>
    <t>Colonne2</t>
  </si>
  <si>
    <t>EffacementResultat</t>
  </si>
  <si>
    <t>Resultat LGS (DAME)</t>
  </si>
  <si>
    <t>Calcul du Tour 1</t>
  </si>
  <si>
    <t>Resultat LGS (HOMME)</t>
  </si>
  <si>
    <t>genre</t>
  </si>
  <si>
    <t>ROMAN, Gabin</t>
  </si>
  <si>
    <t>GOLF DE LILLE METROPOLE</t>
  </si>
  <si>
    <t>Messieurs</t>
  </si>
  <si>
    <t>OFFROY, Jerome</t>
  </si>
  <si>
    <t>Dames</t>
  </si>
  <si>
    <t>mode</t>
  </si>
  <si>
    <t>XLS_2024</t>
  </si>
  <si>
    <t>Nom des feuilles de resultats agrégés</t>
  </si>
  <si>
    <t>Mode suivi evolution export RMS</t>
  </si>
  <si>
    <t>C:\dev-data\golf\ASGLM LGS\LGS_Application\exrtractCsv\DIMANCHE 13, 18 TROUS GRANDE SEMAINE\2d. Extraction XLS globale_light_all.xlsx</t>
  </si>
  <si>
    <t>MONTE, Julie</t>
  </si>
  <si>
    <t>CANONNE, Ghislaine</t>
  </si>
  <si>
    <t>ROSSEL, Louann</t>
  </si>
  <si>
    <t>LOCUFIER, Astrid</t>
  </si>
  <si>
    <t>WATTINNE, Anne</t>
  </si>
  <si>
    <t>MALFAIT, Virginie</t>
  </si>
  <si>
    <t>CE LA REDOUTE</t>
  </si>
  <si>
    <t>BROTCORNE, Celine</t>
  </si>
  <si>
    <t>PLAULT, Elsa</t>
  </si>
  <si>
    <t>MERLIN, Marie-José</t>
  </si>
  <si>
    <t>TOULMONDE, Nathalie</t>
  </si>
  <si>
    <t>LEBLANC, Nathalie</t>
  </si>
  <si>
    <t>MARCHAND, Isabelle</t>
  </si>
  <si>
    <t>VONGHIA, Sonia</t>
  </si>
  <si>
    <t>CARAUX, Véronique</t>
  </si>
  <si>
    <t>HAK, Lydie</t>
  </si>
  <si>
    <t>KIEKEN, Marina</t>
  </si>
  <si>
    <t>JARRY, Laurence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</si>
</sst>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</fills>
  <borders count="6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</borders>
  <cellStyleXfs count="1">
    <xf numFmtId="0" fontId="0" fillId="0" borderId="0"/>
  </cellStyleXfs>
  <cellXfs count="192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10" borderId="0" xfId="0" applyFill="1"/>
    <xf numFmtId="0" fontId="0" fillId="10" borderId="15" xfId="0" applyFill="1" applyBorder="1"/>
    <xf numFmtId="0" fontId="0" fillId="5" borderId="0" xfId="0" applyFill="1" applyAlignment="1">
      <alignment horizontal="center"/>
    </xf>
    <xf numFmtId="0" fontId="0" fillId="5" borderId="15" xfId="0" applyFill="1" applyBorder="1" applyAlignment="1">
      <alignment horizontal="center"/>
    </xf>
    <xf numFmtId="0" fontId="2" fillId="5" borderId="20" xfId="0" applyFont="1" applyFill="1" applyBorder="1" applyAlignment="1">
      <alignment horizontal="right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4" fillId="0" borderId="59" xfId="0" applyFont="1" applyBorder="1"/>
    <xf numFmtId="0" fontId="12" fillId="0" borderId="59" xfId="0" applyFont="1" applyBorder="1"/>
    <xf numFmtId="0" fontId="13" fillId="0" borderId="59" xfId="0" applyFont="1" applyBorder="1"/>
    <xf numFmtId="0" fontId="12" fillId="0" borderId="60" xfId="0" applyFont="1" applyBorder="1"/>
    <xf numFmtId="0" fontId="12" fillId="0" borderId="61" xfId="0" applyFont="1" applyBorder="1"/>
    <xf numFmtId="0" fontId="13" fillId="0" borderId="61" xfId="0" applyFont="1" applyBorder="1"/>
    <xf numFmtId="0" fontId="14" fillId="0" borderId="61" xfId="0" applyFont="1" applyBorder="1"/>
    <xf numFmtId="0" fontId="14" fillId="0" borderId="62" xfId="0" applyFont="1" applyBorder="1"/>
    <xf numFmtId="0" fontId="12" fillId="0" borderId="62" xfId="0" applyFont="1" applyBorder="1"/>
    <xf numFmtId="0" fontId="13" fillId="0" borderId="62" xfId="0" applyFont="1" applyBorder="1"/>
    <xf numFmtId="0" fontId="12" fillId="0" borderId="63" xfId="0" applyFont="1" applyBorder="1"/>
    <xf numFmtId="0" fontId="12" fillId="0" borderId="64" xfId="0" applyFont="1" applyBorder="1"/>
    <xf numFmtId="0" fontId="13" fillId="0" borderId="64" xfId="0" applyFont="1" applyBorder="1"/>
    <xf numFmtId="0" fontId="14" fillId="0" borderId="64" xfId="0" applyFont="1" applyBorder="1"/>
    <xf numFmtId="0" fontId="14" fillId="0" borderId="65" xfId="0" applyFont="1" applyBorder="1"/>
    <xf numFmtId="0" fontId="12" fillId="0" borderId="65" xfId="0" applyFont="1" applyBorder="1"/>
    <xf numFmtId="0" fontId="13" fillId="0" borderId="65" xfId="0" applyFont="1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66" xfId="0" applyFill="1" applyBorder="1"/>
    <xf numFmtId="0" fontId="0" fillId="5" borderId="67" xfId="0" applyFill="1" applyBorder="1"/>
    <xf numFmtId="0" fontId="0" fillId="5" borderId="52" xfId="0" applyFill="1" applyBorder="1"/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left" vertical="center"/>
    </xf>
    <xf numFmtId="0" fontId="0" fillId="23" borderId="55" xfId="0" applyFill="1" applyBorder="1" applyAlignment="1">
      <alignment horizontal="left" vertical="center"/>
    </xf>
    <xf numFmtId="0" fontId="0" fillId="23" borderId="56" xfId="0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0" borderId="0" xfId="0" applyFont="1"/>
    <xf numFmtId="22" fontId="0" fillId="0" borderId="0" xfId="0" applyNumberFormat="1" applyFont="1"/>
  </cellXfs>
  <cellStyles count="1">
    <cellStyle name="Normal" xfId="0" builtinId="0"/>
  </cellStyles>
  <dxfs count="4804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10" sel="1" val="0"/>
</file>

<file path=xl/ctrlProps/ctrlProp12.xml><?xml version="1.0" encoding="utf-8"?>
<formControlPr xmlns="http://schemas.microsoft.com/office/spreadsheetml/2009/9/main" objectType="CheckBox" fmlaLink="$D$9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8</xdr:row>
      <xdr:rowOff>180975</xdr:rowOff>
    </xdr:from>
    <xdr:to>
      <xdr:col>9</xdr:col>
      <xdr:colOff>171450</xdr:colOff>
      <xdr:row>9</xdr:row>
      <xdr:rowOff>409575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72225" y="2076450"/>
          <a:ext cx="1485900" cy="419100"/>
        </a:xfrm>
        <a:prstGeom prst="rect">
          <a:avLst/>
        </a:prstGeom>
        <a:solidFill>
          <a:srgbClr val="92D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904875</xdr:colOff>
      <xdr:row>6</xdr:row>
      <xdr:rowOff>180975</xdr:rowOff>
    </xdr:from>
    <xdr:to>
      <xdr:col>6</xdr:col>
      <xdr:colOff>381000</xdr:colOff>
      <xdr:row>9</xdr:row>
      <xdr:rowOff>371475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019550" y="1609725"/>
          <a:ext cx="2305050" cy="8477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5</xdr:row>
          <xdr:rowOff>238125</xdr:rowOff>
        </xdr:from>
        <xdr:to>
          <xdr:col>3</xdr:col>
          <xdr:colOff>1771650</xdr:colOff>
          <xdr:row>9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352425</xdr:rowOff>
    </xdr:from>
    <xdr:to>
      <xdr:col>2</xdr:col>
      <xdr:colOff>66675</xdr:colOff>
      <xdr:row>8</xdr:row>
      <xdr:rowOff>152400</xdr:rowOff>
    </xdr:to>
    <xdr:sp macro="" textlink="">
      <xdr:nvSpPr>
        <xdr:cNvPr id="32" name="Flèche : droi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71450" y="1419225"/>
          <a:ext cx="447675" cy="628650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1</a:t>
          </a:r>
        </a:p>
      </xdr:txBody>
    </xdr:sp>
    <xdr:clientData/>
  </xdr:twoCellAnchor>
  <xdr:twoCellAnchor>
    <xdr:from>
      <xdr:col>11</xdr:col>
      <xdr:colOff>109114</xdr:colOff>
      <xdr:row>5</xdr:row>
      <xdr:rowOff>162806</xdr:rowOff>
    </xdr:from>
    <xdr:to>
      <xdr:col>13</xdr:col>
      <xdr:colOff>2142004</xdr:colOff>
      <xdr:row>9</xdr:row>
      <xdr:rowOff>344870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986849" y="1238571"/>
          <a:ext cx="4139596" cy="1213005"/>
          <a:chOff x="8439150" y="1257300"/>
          <a:chExt cx="4581524" cy="1200151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50" y="1257313"/>
            <a:ext cx="4533903" cy="1200138"/>
            <a:chOff x="7698064" y="870461"/>
            <a:chExt cx="3897982" cy="100749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61"/>
                  <a:ext cx="1948990" cy="38381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2"/>
              <a:ext cx="3871271" cy="342898"/>
              <a:chOff x="7724775" y="1535062"/>
              <a:chExt cx="3871271" cy="342898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05" cy="333376"/>
                <a:chOff x="7724775" y="1544583"/>
                <a:chExt cx="1790705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05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86" y="1535062"/>
                <a:ext cx="1596260" cy="342898"/>
                <a:chOff x="9999786" y="1535062"/>
                <a:chExt cx="1596260" cy="342898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86" y="1535062"/>
                      <a:ext cx="1596260" cy="342898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599" y="1257300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200025</xdr:colOff>
      <xdr:row>5</xdr:row>
      <xdr:rowOff>0</xdr:rowOff>
    </xdr:from>
    <xdr:to>
      <xdr:col>9</xdr:col>
      <xdr:colOff>161924</xdr:colOff>
      <xdr:row>9</xdr:row>
      <xdr:rowOff>476250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2855819" y="1075765"/>
          <a:ext cx="4545105" cy="1507191"/>
          <a:chOff x="3314700" y="1066800"/>
          <a:chExt cx="4533899" cy="1495425"/>
        </a:xfrm>
      </xdr:grpSpPr>
      <xdr:sp macro="" textlink="">
        <xdr:nvSpPr>
          <xdr:cNvPr id="11" name="Forme en L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10800000">
            <a:off x="5362575" y="1104900"/>
            <a:ext cx="2486024" cy="876300"/>
          </a:xfrm>
          <a:prstGeom prst="corner">
            <a:avLst>
              <a:gd name="adj1" fmla="val 54348"/>
              <a:gd name="adj2" fmla="val 110870"/>
            </a:avLst>
          </a:prstGeom>
          <a:solidFill>
            <a:schemeClr val="tx2">
              <a:lumMod val="20000"/>
              <a:lumOff val="80000"/>
            </a:schemeClr>
          </a:solidFill>
          <a:ln>
            <a:solidFill>
              <a:schemeClr val="tx2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4048125" y="1647829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4057045" y="2166381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8" name="Flèche : droit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3314700" y="1066800"/>
            <a:ext cx="447675" cy="457200"/>
          </a:xfrm>
          <a:prstGeom prst="rightArrow">
            <a:avLst/>
          </a:prstGeom>
          <a:solidFill>
            <a:schemeClr val="accent6">
              <a:lumMod val="60000"/>
              <a:lumOff val="40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</a:t>
            </a:r>
            <a:r>
              <a:rPr lang="fr-FR" sz="1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1</a:t>
            </a:r>
            <a:endPara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endParaRPr>
          </a:p>
        </xdr:txBody>
      </xdr: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GrpSpPr/>
        </xdr:nvGrpSpPr>
        <xdr:grpSpPr>
          <a:xfrm>
            <a:off x="3457575" y="1562100"/>
            <a:ext cx="447675" cy="1000125"/>
            <a:chOff x="3533775" y="885825"/>
            <a:chExt cx="447675" cy="1000125"/>
          </a:xfrm>
        </xdr:grpSpPr>
        <xdr:sp macro="" textlink="">
          <xdr:nvSpPr>
            <xdr:cNvPr id="39" name="Flèche : droite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3533775" y="885825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2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  <xdr:sp macro="" textlink="">
          <xdr:nvSpPr>
            <xdr:cNvPr id="41" name="Flèche : droite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/>
          </xdr:nvSpPr>
          <xdr:spPr>
            <a:xfrm>
              <a:off x="3533775" y="1428750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3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476875" y="1171575"/>
                <a:ext cx="638175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CmdImporter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6419850" y="1138013"/>
                <a:ext cx="1400175" cy="43361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Importer les résultats</a:t>
                </a:r>
              </a:p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individuellement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924675" y="1600200"/>
                <a:ext cx="895350" cy="361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9</xdr:row>
          <xdr:rowOff>38100</xdr:rowOff>
        </xdr:from>
        <xdr:to>
          <xdr:col>9</xdr:col>
          <xdr:colOff>133350</xdr:colOff>
          <xdr:row>9</xdr:row>
          <xdr:rowOff>342900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66675</xdr:rowOff>
        </xdr:from>
        <xdr:to>
          <xdr:col>3</xdr:col>
          <xdr:colOff>1009650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resultas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11</xdr:row>
          <xdr:rowOff>85725</xdr:rowOff>
        </xdr:from>
        <xdr:to>
          <xdr:col>13</xdr:col>
          <xdr:colOff>638175</xdr:colOff>
          <xdr:row>12</xdr:row>
          <xdr:rowOff>171450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WIP extract from xls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4803" tableBorderDxfId="4802">
  <tableColumns count="4">
    <tableColumn id="1" xr3:uid="{86185E31-EC52-4ECC-BC3E-33C26B14F7C2}" name="Series" dataDxfId="4801">
      <calculatedColumnFormula>_xlfn.CONCAT($V$7," ",V8)</calculatedColumnFormula>
    </tableColumn>
    <tableColumn id="2" xr3:uid="{788D8AF7-A2FF-4152-9FEC-3D734C94A926}" name="Serie" dataDxfId="4800"/>
    <tableColumn id="3" xr3:uid="{98F42830-BCA0-414B-9FEF-78FCD5DB348B}" name="indexMin" dataDxfId="4799"/>
    <tableColumn id="4" xr3:uid="{E4B94243-8BBE-45E2-AAC0-0D18C5A6695E}" name="indexMax" dataDxfId="479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4797" dataDxfId="4795" headerRowBorderDxfId="4796" tableBorderDxfId="4794">
  <tableColumns count="1">
    <tableColumn id="1" xr3:uid="{8473C081-0E42-4FA9-8C99-E5B7E8CD3209}" name="Tours" dataDxfId="479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4792" headerRowBorderDxfId="4791" tableBorderDxfId="4790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4789" dataDxfId="4788" tableBorderDxfId="4787">
  <autoFilter ref="D12:F13" xr:uid="{FCA0E9AA-8BD9-46EB-B07B-67F06EACCB48}"/>
  <tableColumns count="3">
    <tableColumn id="1" xr3:uid="{47561816-2B53-47F6-822E-269C476F3FFD}" name="Tour importé" dataDxfId="4786"/>
    <tableColumn id="2" xr3:uid="{E2C3F515-D8A3-4FC2-B632-32DB6D91A198}" name="Type" dataDxfId="4785">
      <calculatedColumnFormula>INDEX(TableauType[TYPE],Tableau6[[#This Row],[TypeIndex]])</calculatedColumnFormula>
    </tableColumn>
    <tableColumn id="3" xr3:uid="{617E6B65-5E58-4C9B-9DC4-488608A74753}" name="TypeIndex" dataDxfId="4784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4783" dataDxfId="4782">
  <autoFilter ref="AD7:AD15" xr:uid="{9029752C-EFC9-4C60-BDF1-B009EF2F440D}"/>
  <tableColumns count="1">
    <tableColumn id="1" xr3:uid="{47EFDC89-116E-4E91-94A2-C4CDC0579100}" name="Fichiers" dataDxfId="478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4780" headerRowBorderDxfId="4779" tableBorderDxfId="4778" totalsRowBorderDxfId="4777">
  <autoFilter ref="U18:V22" xr:uid="{BBFFD128-4797-4BD5-B581-AA8D8277F8F3}"/>
  <tableColumns count="2">
    <tableColumn id="1" xr3:uid="{903026A3-43DC-4900-8F6E-2271BCA97B81}" name="Colonne1" dataDxfId="4776"/>
    <tableColumn id="2" xr3:uid="{C9FC1671-8A12-4C52-9797-E5DB3A7B67E7}" name="Colonne2" dataDxfId="4775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4774" tableBorderDxfId="4773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4772"/>
    <tableColumn id="2" xr3:uid="{ECBEFB46-CF2E-4172-8E5C-37DBEC25E1AE}" name="Club" dataDxfId="4771"/>
    <tableColumn id="3" xr3:uid="{FBA83F7F-D4E7-4A15-99EC-CE8D436D7EB3}" name="Index" dataDxfId="4770"/>
    <tableColumn id="4" xr3:uid="{0090B21E-C7ED-4CC4-A4C8-7AED1146F2F9}" name="Série" dataDxfId="4769"/>
    <tableColumn id="5" xr3:uid="{7D4E8E6A-E590-441A-A2B5-664E220061CC}" name="Score     Net1" dataDxfId="4768"/>
    <tableColumn id="6" xr3:uid="{84241967-A195-4D05-9846-F0E084774539}" name="Rang   Net1" dataDxfId="4767"/>
    <tableColumn id="7" xr3:uid="{F27CD3EA-D421-4623-93DF-5DFCAA423771}" name="Score    Brut1" dataDxfId="4766"/>
    <tableColumn id="8" xr3:uid="{62D1F21B-032A-484B-BC39-395CC4756A54}" name="Rang   Brut1" dataDxfId="4765"/>
    <tableColumn id="9" xr3:uid="{D3289CF1-FAC6-4CC0-B2B6-80CBB0406845}" name="Score      Net2" dataDxfId="4764"/>
    <tableColumn id="10" xr3:uid="{2F18A068-FD19-4313-83C9-0AB3AA88EE3F}" name="Rang      Net2" dataDxfId="4763"/>
    <tableColumn id="11" xr3:uid="{A7248FAA-403B-4BFE-B0D4-859E30DE4A95}" name="Score      Brut2" dataDxfId="4762"/>
    <tableColumn id="12" xr3:uid="{4F6F4506-16A0-4352-A12B-8992CD80B9B6}" name="Rang      Brut2" dataDxfId="4761"/>
    <tableColumn id="13" xr3:uid="{68CAD2A6-712A-4B66-A7A3-D58BF5303438}" name="Score      Net3" dataDxfId="4760"/>
    <tableColumn id="14" xr3:uid="{9F172573-6C25-46FC-BE9F-F56834E813D9}" name="Rang      Net3" dataDxfId="4759"/>
    <tableColumn id="15" xr3:uid="{618A094F-BB99-4883-A19C-4EBA6E699BCF}" name="Score      Brut3" dataDxfId="4758"/>
    <tableColumn id="16" xr3:uid="{0E544C66-61C9-46D5-A427-A9677AE96910}" name="Rang      Brut3" dataDxfId="4757"/>
    <tableColumn id="17" xr3:uid="{24730B87-D2CD-487D-99BD-EACD109C443F}" name="Score        Net4" dataDxfId="4756"/>
    <tableColumn id="18" xr3:uid="{F0B85087-E217-4534-9BC7-B04BDDCCA8B9}" name="Rang        Net4" dataDxfId="4755"/>
    <tableColumn id="19" xr3:uid="{7DDCD1A6-A182-48A1-9F3F-836B917D0B07}" name="Score        Brut4" dataDxfId="4754"/>
    <tableColumn id="20" xr3:uid="{8EABA2E9-9ADA-4192-8BB2-2F58072A8E01}" name="Rang        Brut4" dataDxfId="4753"/>
    <tableColumn id="21" xr3:uid="{79E31DB6-4982-4160-9B1D-20DE3F5E1BB8}" name="Score        Net5" dataDxfId="4752"/>
    <tableColumn id="22" xr3:uid="{DB589AF3-34B3-447A-A354-D474E90FDB4F}" name="Rang        Net5" dataDxfId="4751"/>
    <tableColumn id="23" xr3:uid="{EC9FE005-CE9F-448B-81FE-28EDD1A971F9}" name="Score        Brut5" dataDxfId="4750"/>
    <tableColumn id="24" xr3:uid="{220294A2-C79D-45F3-9AE5-D46451BBF584}" name="Rang        Brut5" dataDxfId="4749"/>
    <tableColumn id="25" xr3:uid="{A772CA9D-C689-4C9F-9855-E6A692839D23}" name="Score        Net6" dataDxfId="4748"/>
    <tableColumn id="26" xr3:uid="{D2589416-857A-4C41-AC6D-96D41817DEC7}" name="Rang        Net6" dataDxfId="4747"/>
    <tableColumn id="27" xr3:uid="{27ADC7D0-24DE-4505-9913-856D8DE338A9}" name="Score        Brut6" dataDxfId="4746"/>
    <tableColumn id="28" xr3:uid="{ABDBDCB4-7B27-49F8-BC7A-7843BC9FF7A5}" name="Rang        Brut6" dataDxfId="4745"/>
    <tableColumn id="29" xr3:uid="{941D9336-449B-439E-B469-314E549EA186}" name="Score Net Max" dataDxfId="4744">
      <calculatedColumnFormula>IF(MIN(F4,J4,N4,R4,V4,Z4)&lt;&gt;0,MIN(F4,J4,N4,R4,V4,Z4),"")</calculatedColumnFormula>
    </tableColumn>
    <tableColumn id="30" xr3:uid="{90574FCA-077D-4C2D-95A6-25042040131A}" name="Score Brut Max" dataDxfId="4743">
      <calculatedColumnFormula>IF(MIN(H4,L4,P4,T4,X4,AB4)&lt;&gt;0,MIN(H4,L4,P4,T4,X4,AB4),"")</calculatedColumnFormula>
    </tableColumn>
    <tableColumn id="31" xr3:uid="{7D46739F-AA9F-4F4C-8559-42672BDC3359}" name="Score Net Finale" dataDxfId="4742"/>
    <tableColumn id="32" xr3:uid="{11EAF1CA-8CD4-40A4-91A3-87D38FCF3433}" name="Rang Net Finale" dataDxfId="4741"/>
    <tableColumn id="33" xr3:uid="{66A96B4D-B263-479C-A036-CA0A68FB1450}" name="Score Brut Finale" dataDxfId="4740"/>
    <tableColumn id="34" xr3:uid="{AB46E898-F45B-460F-A38E-C5A2BFD53000}" name="Rang Brut Finale" dataDxfId="4739"/>
    <tableColumn id="35" xr3:uid="{E7B91838-CDE0-4965-B3BE-53C906009CF4}" name="Score Net LGS" dataDxfId="4738">
      <calculatedColumnFormula>IF(AD4="","",IF(ISBLANK(AF4),"En cours",AD4+AF4))</calculatedColumnFormula>
    </tableColumn>
    <tableColumn id="36" xr3:uid="{2A90CEF2-3F60-4761-BD52-022404B7522C}" name="Score Brut LGS" dataDxfId="473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4736" tableBorderDxfId="4735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4734"/>
    <tableColumn id="2" xr3:uid="{6DF6013E-11A9-4F6E-B527-4EB5242D32FC}" name="Club" dataDxfId="4733"/>
    <tableColumn id="3" xr3:uid="{809481FC-1207-4212-8E64-39319F31B86C}" name="Index" dataDxfId="4732"/>
    <tableColumn id="4" xr3:uid="{61BCE2E5-DC5C-48C2-BA39-6573DBA32351}" name="Série" dataDxfId="4731"/>
    <tableColumn id="5" xr3:uid="{5210E73B-D34C-4FAE-A187-64170B309A2C}" name="Score     Net1" dataDxfId="4730"/>
    <tableColumn id="6" xr3:uid="{0C146610-8133-4769-A4EC-4AF4A9EB4EEA}" name="Rang   Net1" dataDxfId="4729"/>
    <tableColumn id="7" xr3:uid="{DC3B3441-4412-46B5-8015-7E44D9FF0A16}" name="Score    Brut1" dataDxfId="4728"/>
    <tableColumn id="8" xr3:uid="{780A2D1B-C1E0-4E66-A641-80609193E5ED}" name="Rang   Brut1" dataDxfId="4727"/>
    <tableColumn id="9" xr3:uid="{A286DE62-5493-4750-8D3A-4E0268951135}" name="Score      Net2" dataDxfId="4726"/>
    <tableColumn id="10" xr3:uid="{9AA9E923-19AE-4E9C-B03E-6CCB420B0DE0}" name="Rang      Net2" dataDxfId="4725"/>
    <tableColumn id="11" xr3:uid="{13D9FCED-A177-4823-BBF5-CB6BBFD92170}" name="Score      Brut2" dataDxfId="4724"/>
    <tableColumn id="12" xr3:uid="{AE79BCC0-99C9-4A29-85F9-06518743CC41}" name="Rang      Brut2" dataDxfId="4723"/>
    <tableColumn id="13" xr3:uid="{6260EBE1-C4F8-4892-8111-6848B59FFDDC}" name="Score      Net3" dataDxfId="4722"/>
    <tableColumn id="14" xr3:uid="{70D3C91B-53A9-4C67-AA7C-86DB6FCC84EA}" name="Rang      Net3" dataDxfId="4721"/>
    <tableColumn id="15" xr3:uid="{316ABADB-80DF-4341-9456-B07A916EE828}" name="Score      Brut3" dataDxfId="4720"/>
    <tableColumn id="16" xr3:uid="{5F33B9A2-6C2B-44A9-B727-D955FDD7A57E}" name="Rang      Brut3" dataDxfId="4719"/>
    <tableColumn id="17" xr3:uid="{7405128E-0D40-44C5-B3B7-9098CE3F571B}" name="Score        Net4" dataDxfId="4718"/>
    <tableColumn id="18" xr3:uid="{57B1622B-69C7-4A1C-8967-6906A0E60401}" name="Rang        Net4" dataDxfId="4717"/>
    <tableColumn id="19" xr3:uid="{765D8E18-32EC-4D78-B6D5-C889630A0B4D}" name="Score        Brut4" dataDxfId="4716"/>
    <tableColumn id="20" xr3:uid="{F9E9BC2E-A9E0-415E-92F8-F007D70D402D}" name="Rang        Brut4" dataDxfId="4715"/>
    <tableColumn id="21" xr3:uid="{56B8C53B-2683-43AB-BA94-98D12846892B}" name="Score        Net5" dataDxfId="4714"/>
    <tableColumn id="22" xr3:uid="{CEE64EB1-2B37-4BE8-AD6C-F73635777200}" name="Rang        Net5" dataDxfId="4713"/>
    <tableColumn id="23" xr3:uid="{08967303-5AA9-43EB-A7B1-57000258446B}" name="Score        Brut5" dataDxfId="4712"/>
    <tableColumn id="24" xr3:uid="{8200C06D-A6A7-4584-BCE4-DE94947CAA08}" name="Rang        Brut5" dataDxfId="4711"/>
    <tableColumn id="25" xr3:uid="{E363B218-F04E-4259-A65F-BE04FA1C15B3}" name="Score        Net6" dataDxfId="4710"/>
    <tableColumn id="26" xr3:uid="{EC92842C-B321-4087-AA25-F376E0579048}" name="Rang        Net6" dataDxfId="4709"/>
    <tableColumn id="27" xr3:uid="{3EF61377-66C7-4D60-AF65-BAFD2DD291D8}" name="Score        Brut6" dataDxfId="4708"/>
    <tableColumn id="28" xr3:uid="{251BB10E-2B2F-4B4A-8805-D7C49FF7D091}" name="Rang        Brut6" dataDxfId="4707"/>
    <tableColumn id="29" xr3:uid="{937492D8-E20B-486F-B289-5EBB929EA97E}" name="Score Net Max" dataDxfId="4706">
      <calculatedColumnFormula>IF(MIN(F4,J4,N4,R4,V4,Z4)&lt;&gt;0,MIN(F4,J4,N4,R4,V4,Z4),"")</calculatedColumnFormula>
    </tableColumn>
    <tableColumn id="30" xr3:uid="{BFCE7449-4F11-49CA-B00B-6CF4C21DE23E}" name="Score Brut Max" dataDxfId="4705">
      <calculatedColumnFormula>IF(MIN(H4,L4,P4,T4,X4,AB4)&lt;&gt;0,MIN(H4,L4,P4,T4,X4,AB4),"")</calculatedColumnFormula>
    </tableColumn>
    <tableColumn id="31" xr3:uid="{061F8C59-D91F-49DB-89E4-FD5BF5DEA2BE}" name="Score Net Finale" dataDxfId="4704"/>
    <tableColumn id="32" xr3:uid="{47CCF636-B700-4893-BB69-C5F49188A737}" name="Rang Net Finale" dataDxfId="4703"/>
    <tableColumn id="33" xr3:uid="{34BE4EC2-EAC1-40DC-82EA-B21BFA645C43}" name="Score Brut Finale" dataDxfId="4702"/>
    <tableColumn id="34" xr3:uid="{B4CC10FB-AE7D-4F7B-B5E6-A21DFBD43F7A}" name="Rang Brut Finale" dataDxfId="4701"/>
    <tableColumn id="35" xr3:uid="{2A85E5CE-D8F3-4ABA-BB20-EF4EC4E5400C}" name="Score Net LGS" dataDxfId="4700">
      <calculatedColumnFormula>IF(AD4="","",IF(ISBLANK(AF4),"En cours",AD4+AF4))</calculatedColumnFormula>
    </tableColumn>
    <tableColumn id="36" xr3:uid="{E2505702-E088-4E30-97F4-10F7B06362C7}" name="Score Brut LGS" dataDxfId="4699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15" totalsRowShown="0" headerRowDxfId="4698" dataDxfId="4697">
  <autoFilter ref="B4:F15" xr:uid="{BEE036B7-08A7-43AF-AC9F-62B639BE2327}"/>
  <tableColumns count="5">
    <tableColumn id="1" xr3:uid="{07F0EE21-57C5-4450-A337-C4E93B37093B}" name="type" dataDxfId="4696"/>
    <tableColumn id="4" xr3:uid="{5D76DE16-D7AC-47BB-8E5C-7D62535B0C45}" name="joueurs" dataDxfId="4695"/>
    <tableColumn id="6" xr3:uid="{AAEF716B-5939-451B-9370-6D6F4B67A6B4}" name="feuille" dataDxfId="4694"/>
    <tableColumn id="2" xr3:uid="{15443A43-A7C3-4E12-8B5A-8DC832EBEFF5}" name="reference" dataDxfId="4693"/>
    <tableColumn id="3" xr3:uid="{C5F94F07-C4F6-41F7-9201-803FDABD5D1F}" name="date" dataDxfId="469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5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3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zoomScale="85" zoomScaleNormal="85" workbookViewId="0">
      <selection activeCell="M20" sqref="M20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3.7109375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3.7109375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8" t="s">
        <v>34</v>
      </c>
      <c r="C2" s="57"/>
      <c r="D2" s="58" t="s">
        <v>35</v>
      </c>
      <c r="E2" s="62" t="s">
        <v>3</v>
      </c>
      <c r="F2" s="58"/>
      <c r="G2" s="57"/>
      <c r="H2" s="57"/>
      <c r="I2" s="57"/>
      <c r="J2" s="57"/>
      <c r="K2" s="69" t="s">
        <v>33</v>
      </c>
      <c r="L2" s="57"/>
      <c r="M2" s="57" t="s">
        <v>36</v>
      </c>
      <c r="N2" s="65" t="s">
        <v>31</v>
      </c>
      <c r="O2" s="64" t="s">
        <v>32</v>
      </c>
    </row>
    <row r="3" spans="1:31" ht="15.75" thickBot="1" x14ac:dyDescent="0.3">
      <c r="B3" s="59">
        <f>COUNTA(B17:B7704)</f>
        <v>19</v>
      </c>
      <c r="C3" s="60"/>
      <c r="D3" s="60" t="str">
        <f ca="1">MID(CELL("nomfichier",A1),FIND("]",CELL("nomfichier",A1))+1,LEN(CELL("nomfichier",A1))-FIND("]",CELL("nomfichier",A1)))</f>
        <v>Import Resultats Tour</v>
      </c>
      <c r="E3" s="63">
        <f>TourSelected -1</f>
        <v>0</v>
      </c>
      <c r="F3" s="61"/>
      <c r="G3" s="60"/>
      <c r="H3" s="60"/>
      <c r="I3" s="60"/>
      <c r="J3" s="60"/>
      <c r="K3" s="60">
        <f>COUNTA(K17:K7702)</f>
        <v>21</v>
      </c>
      <c r="L3" s="60"/>
      <c r="M3" s="60" t="str">
        <f>_xlfn.CONCAT("Resultat LGS (",Tableau6[Type],")")</f>
        <v>Resultat LGS (HOMME)</v>
      </c>
      <c r="N3" s="66"/>
      <c r="O3" s="67">
        <v>45147</v>
      </c>
      <c r="T3" t="s">
        <v>106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70" t="s">
        <v>27</v>
      </c>
      <c r="F5" s="71"/>
      <c r="G5" s="72"/>
      <c r="H5" s="72"/>
      <c r="I5" s="72"/>
      <c r="J5" s="73"/>
      <c r="L5" s="31"/>
      <c r="M5" s="43" t="s">
        <v>26</v>
      </c>
      <c r="N5" s="32"/>
      <c r="P5" s="160" t="s">
        <v>81</v>
      </c>
      <c r="Q5" s="161"/>
      <c r="R5" s="162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44"/>
      <c r="D6" s="48"/>
      <c r="E6" s="52" t="s">
        <v>0</v>
      </c>
      <c r="F6" s="50"/>
      <c r="G6" s="25"/>
      <c r="H6" s="25"/>
      <c r="I6" s="25"/>
      <c r="J6" s="28"/>
      <c r="L6" s="33"/>
      <c r="M6" s="34"/>
      <c r="N6" s="35"/>
      <c r="P6" s="163">
        <f>IF(Tableau6[Type]=INDEX(TableauType[],1),U19,V19)</f>
        <v>0</v>
      </c>
      <c r="Q6" s="164"/>
      <c r="R6" s="165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48"/>
      <c r="E7" s="23"/>
      <c r="F7" s="25"/>
      <c r="G7" s="25"/>
      <c r="H7" s="25"/>
      <c r="I7" s="25"/>
      <c r="J7" s="28"/>
      <c r="L7" s="36"/>
      <c r="M7" s="37"/>
      <c r="N7" s="38"/>
      <c r="P7" s="166" t="str">
        <f>IF(Tableau6[Type]=INDEX(TableauType[],1),U20,V20)</f>
        <v>export_HOMME_Net_1.xlsx</v>
      </c>
      <c r="Q7" s="167"/>
      <c r="R7" s="168"/>
      <c r="T7" s="23"/>
      <c r="U7" s="12" t="s">
        <v>12</v>
      </c>
      <c r="V7" s="116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106" t="s">
        <v>75</v>
      </c>
      <c r="AC7" s="25"/>
      <c r="AD7" s="115" t="s">
        <v>80</v>
      </c>
      <c r="AE7" s="28"/>
    </row>
    <row r="8" spans="1:31" x14ac:dyDescent="0.25">
      <c r="C8" s="44"/>
      <c r="D8" s="48"/>
      <c r="E8" s="23"/>
      <c r="F8" s="50"/>
      <c r="G8" s="25"/>
      <c r="H8" s="25"/>
      <c r="I8" s="25"/>
      <c r="J8" s="28"/>
      <c r="L8" s="53"/>
      <c r="M8" s="54"/>
      <c r="N8" s="55"/>
      <c r="P8" s="169" t="str">
        <f>IF(Tableau6[Type]=INDEX(TableauType[],1),U21,V21)</f>
        <v>export_HOMME_Brut_234.xlsx</v>
      </c>
      <c r="Q8" s="170"/>
      <c r="R8" s="171"/>
      <c r="T8" s="23"/>
      <c r="U8" s="120" t="str">
        <f>_xlfn.CONCAT($V$7," ",V8)</f>
        <v>Serie 1</v>
      </c>
      <c r="V8" s="117">
        <v>1</v>
      </c>
      <c r="W8" s="6">
        <v>0</v>
      </c>
      <c r="X8" s="10">
        <v>11.4</v>
      </c>
      <c r="Y8" s="25"/>
      <c r="Z8" s="16">
        <v>1</v>
      </c>
      <c r="AA8" s="25"/>
      <c r="AB8" s="105" t="s">
        <v>73</v>
      </c>
      <c r="AC8" s="25"/>
      <c r="AD8" s="114"/>
      <c r="AE8" s="28"/>
    </row>
    <row r="9" spans="1:31" ht="15.75" thickBot="1" x14ac:dyDescent="0.3">
      <c r="C9" s="44"/>
      <c r="D9" s="48" t="b">
        <v>0</v>
      </c>
      <c r="E9" s="23"/>
      <c r="F9" s="50"/>
      <c r="G9" s="25"/>
      <c r="H9" s="25"/>
      <c r="I9" s="25"/>
      <c r="J9" s="28"/>
      <c r="L9" s="36"/>
      <c r="M9" s="37"/>
      <c r="N9" s="38"/>
      <c r="P9" s="172" t="str">
        <f>IF(Tableau6[Type]=INDEX(TableauType[],1),U22,V22)</f>
        <v>export_HOMME_Net_234.xlsx</v>
      </c>
      <c r="Q9" s="173"/>
      <c r="R9" s="174"/>
      <c r="T9" s="23"/>
      <c r="U9" s="121" t="str">
        <f>_xlfn.CONCAT($V$7," ",V9)</f>
        <v>Serie 2</v>
      </c>
      <c r="V9" s="118">
        <v>2</v>
      </c>
      <c r="W9" s="8">
        <v>11.5</v>
      </c>
      <c r="X9" s="11">
        <v>18.399999999999999</v>
      </c>
      <c r="Y9" s="25"/>
      <c r="Z9" s="17">
        <v>2</v>
      </c>
      <c r="AA9" s="25"/>
      <c r="AB9" s="107" t="s">
        <v>74</v>
      </c>
      <c r="AC9" s="25"/>
      <c r="AD9" s="17"/>
      <c r="AE9" s="28"/>
    </row>
    <row r="10" spans="1:31" ht="41.25" customHeight="1" thickBot="1" x14ac:dyDescent="0.3">
      <c r="C10" s="45" t="s">
        <v>29</v>
      </c>
      <c r="D10" s="49"/>
      <c r="E10" s="24"/>
      <c r="F10" s="51"/>
      <c r="G10" s="26"/>
      <c r="H10" s="26"/>
      <c r="I10" s="26"/>
      <c r="J10" s="27"/>
      <c r="L10" s="39"/>
      <c r="M10" s="40"/>
      <c r="N10" s="41"/>
      <c r="T10" s="23"/>
      <c r="U10" s="121" t="str">
        <f>_xlfn.CONCAT($V$7," ",V10)</f>
        <v>Serie 3</v>
      </c>
      <c r="V10" s="118">
        <v>3</v>
      </c>
      <c r="W10" s="8">
        <v>18.5</v>
      </c>
      <c r="X10" s="11">
        <v>26.4</v>
      </c>
      <c r="Y10" s="25"/>
      <c r="Z10" s="17">
        <v>3</v>
      </c>
      <c r="AA10" s="25"/>
      <c r="AB10" s="25"/>
      <c r="AC10" s="25"/>
      <c r="AD10" s="114"/>
      <c r="AE10" s="28"/>
    </row>
    <row r="11" spans="1:31" x14ac:dyDescent="0.25">
      <c r="T11" s="23"/>
      <c r="U11" s="121" t="str">
        <f>_xlfn.CONCAT($V$7," ",V11)</f>
        <v>Serie 4</v>
      </c>
      <c r="V11" s="118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8" t="s">
        <v>30</v>
      </c>
      <c r="E12" s="109" t="s">
        <v>76</v>
      </c>
      <c r="F12" s="110" t="s">
        <v>77</v>
      </c>
      <c r="T12" s="23"/>
      <c r="U12" s="121" t="str">
        <f>_xlfn.CONCAT($V$7," ",V12)</f>
        <v>Serie 5</v>
      </c>
      <c r="V12" s="119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4"/>
      <c r="AE12" s="28"/>
    </row>
    <row r="13" spans="1:31" ht="15.75" x14ac:dyDescent="0.25">
      <c r="D13" s="111">
        <v>1</v>
      </c>
      <c r="E13" s="112" t="str">
        <f>INDEX(TableauType[TYPE],Tableau6[[#This Row],[TypeIndex]])</f>
        <v>HOMME</v>
      </c>
      <c r="F13" s="113">
        <v>1</v>
      </c>
      <c r="G13" s="56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14"/>
      <c r="AE14" s="28"/>
    </row>
    <row r="15" spans="1:31" ht="26.25" x14ac:dyDescent="0.25">
      <c r="B15" s="158" t="s">
        <v>1</v>
      </c>
      <c r="C15" s="158"/>
      <c r="D15" s="158"/>
      <c r="E15" s="158"/>
      <c r="F15" s="158"/>
      <c r="G15" s="158"/>
      <c r="H15" s="158"/>
      <c r="I15" s="158"/>
      <c r="K15" s="159" t="s">
        <v>2</v>
      </c>
      <c r="L15" s="159"/>
      <c r="M15" s="159"/>
      <c r="N15" s="159"/>
      <c r="O15" s="159"/>
      <c r="P15" s="159"/>
      <c r="Q15" s="159"/>
      <c r="R15" s="159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96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96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2:31" ht="15.75" thickBot="1" x14ac:dyDescent="0.3">
      <c r="B17">
        <v>1</v>
      </c>
      <c r="C17">
        <v>1</v>
      </c>
      <c r="D17" t="s">
        <v>97</v>
      </c>
      <c r="E17" t="s">
        <v>98</v>
      </c>
      <c r="F17">
        <v>5.3</v>
      </c>
      <c r="G17">
        <v>1</v>
      </c>
      <c r="H17">
        <v>69</v>
      </c>
      <c r="I17" t="s">
        <v>99</v>
      </c>
      <c r="K17">
        <v>1</v>
      </c>
      <c r="L17">
        <v>1</v>
      </c>
      <c r="M17" t="s">
        <v>97</v>
      </c>
      <c r="N17" t="s">
        <v>98</v>
      </c>
      <c r="O17">
        <v>5.3</v>
      </c>
      <c r="P17">
        <v>1</v>
      </c>
      <c r="Q17">
        <v>76</v>
      </c>
      <c r="R17" t="s">
        <v>99</v>
      </c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2:31" ht="15.75" thickBot="1" x14ac:dyDescent="0.3">
      <c r="B18">
        <v>1</v>
      </c>
      <c r="C18">
        <v>1</v>
      </c>
      <c r="D18" t="s">
        <v>97</v>
      </c>
      <c r="E18" t="s">
        <v>98</v>
      </c>
      <c r="F18">
        <v>5.3</v>
      </c>
      <c r="G18">
        <v>1</v>
      </c>
      <c r="H18">
        <v>69</v>
      </c>
      <c r="I18" t="s">
        <v>99</v>
      </c>
      <c r="K18">
        <v>1</v>
      </c>
      <c r="L18">
        <v>1</v>
      </c>
      <c r="M18" t="s">
        <v>100</v>
      </c>
      <c r="N18" t="s">
        <v>98</v>
      </c>
      <c r="O18">
        <v>13</v>
      </c>
      <c r="P18">
        <v>2</v>
      </c>
      <c r="Q18">
        <v>81</v>
      </c>
      <c r="R18" t="s">
        <v>99</v>
      </c>
      <c r="T18" s="23"/>
      <c r="U18" s="122" t="s">
        <v>90</v>
      </c>
      <c r="V18" s="123" t="s">
        <v>91</v>
      </c>
      <c r="W18" s="25"/>
      <c r="X18" s="155" t="s">
        <v>104</v>
      </c>
      <c r="Y18" s="156"/>
      <c r="Z18" s="156"/>
      <c r="AA18" s="156"/>
      <c r="AB18" s="157"/>
      <c r="AC18" s="25"/>
      <c r="AD18" s="25"/>
      <c r="AE18" s="28"/>
    </row>
    <row r="19" spans="2:31" x14ac:dyDescent="0.25">
      <c r="B19">
        <v>1</v>
      </c>
      <c r="C19">
        <v>1</v>
      </c>
      <c r="D19" t="s">
        <v>109</v>
      </c>
      <c r="E19" t="s">
        <v>98</v>
      </c>
      <c r="F19">
        <v>18.2</v>
      </c>
      <c r="G19">
        <v>2</v>
      </c>
      <c r="H19">
        <v>69</v>
      </c>
      <c r="I19" t="s">
        <v>101</v>
      </c>
      <c r="K19">
        <v>1</v>
      </c>
      <c r="L19">
        <v>1</v>
      </c>
      <c r="M19" t="s">
        <v>97</v>
      </c>
      <c r="N19" t="s">
        <v>98</v>
      </c>
      <c r="O19">
        <v>5.3</v>
      </c>
      <c r="P19">
        <v>1</v>
      </c>
      <c r="Q19">
        <v>76</v>
      </c>
      <c r="R19" t="s">
        <v>99</v>
      </c>
      <c r="T19" s="23"/>
      <c r="U19" s="5"/>
      <c r="V19" s="124"/>
      <c r="W19" s="25"/>
      <c r="X19" s="152" t="s">
        <v>99</v>
      </c>
      <c r="Y19" s="150"/>
      <c r="Z19" s="150" t="s">
        <v>95</v>
      </c>
      <c r="AA19" s="150"/>
      <c r="AB19" s="151"/>
      <c r="AC19" s="25"/>
      <c r="AD19" s="25"/>
      <c r="AE19" s="28"/>
    </row>
    <row r="20" spans="2:31" ht="15.75" thickBot="1" x14ac:dyDescent="0.3">
      <c r="B20">
        <v>1</v>
      </c>
      <c r="C20">
        <v>2</v>
      </c>
      <c r="D20" t="s">
        <v>107</v>
      </c>
      <c r="E20" t="s">
        <v>98</v>
      </c>
      <c r="F20">
        <v>8.1999999999999993</v>
      </c>
      <c r="G20">
        <v>1</v>
      </c>
      <c r="H20">
        <v>70</v>
      </c>
      <c r="I20" t="s">
        <v>101</v>
      </c>
      <c r="K20">
        <v>1</v>
      </c>
      <c r="L20">
        <v>1</v>
      </c>
      <c r="M20" t="s">
        <v>100</v>
      </c>
      <c r="N20" t="s">
        <v>98</v>
      </c>
      <c r="O20">
        <v>13</v>
      </c>
      <c r="P20">
        <v>2</v>
      </c>
      <c r="Q20">
        <v>81</v>
      </c>
      <c r="R20" t="s">
        <v>99</v>
      </c>
      <c r="T20" s="23"/>
      <c r="U20" s="7" t="s">
        <v>83</v>
      </c>
      <c r="V20" s="125" t="s">
        <v>84</v>
      </c>
      <c r="W20" s="25"/>
      <c r="X20" s="153" t="s">
        <v>101</v>
      </c>
      <c r="Y20" s="26"/>
      <c r="Z20" s="26" t="s">
        <v>93</v>
      </c>
      <c r="AA20" s="26"/>
      <c r="AB20" s="27"/>
      <c r="AC20" s="25"/>
      <c r="AD20" s="25"/>
      <c r="AE20" s="28"/>
    </row>
    <row r="21" spans="2:31" ht="15.75" thickBot="1" x14ac:dyDescent="0.3">
      <c r="B21">
        <v>1</v>
      </c>
      <c r="C21">
        <v>3</v>
      </c>
      <c r="D21" t="s">
        <v>108</v>
      </c>
      <c r="E21" t="s">
        <v>98</v>
      </c>
      <c r="F21">
        <v>13.7</v>
      </c>
      <c r="G21">
        <v>2</v>
      </c>
      <c r="H21">
        <v>71</v>
      </c>
      <c r="I21" t="s">
        <v>101</v>
      </c>
      <c r="K21">
        <v>1</v>
      </c>
      <c r="L21">
        <v>1</v>
      </c>
      <c r="M21" t="s">
        <v>107</v>
      </c>
      <c r="N21" t="s">
        <v>98</v>
      </c>
      <c r="O21">
        <v>8.1999999999999993</v>
      </c>
      <c r="P21">
        <v>1</v>
      </c>
      <c r="Q21">
        <v>80</v>
      </c>
      <c r="R21" t="s">
        <v>101</v>
      </c>
      <c r="T21" s="23"/>
      <c r="U21" s="7" t="s">
        <v>85</v>
      </c>
      <c r="V21" s="125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2:31" ht="15.75" thickBot="1" x14ac:dyDescent="0.3">
      <c r="B22">
        <v>1</v>
      </c>
      <c r="C22">
        <v>4</v>
      </c>
      <c r="D22" t="s">
        <v>110</v>
      </c>
      <c r="E22" t="s">
        <v>98</v>
      </c>
      <c r="F22">
        <v>14.7</v>
      </c>
      <c r="G22">
        <v>2</v>
      </c>
      <c r="H22">
        <v>76</v>
      </c>
      <c r="I22" t="s">
        <v>101</v>
      </c>
      <c r="K22">
        <v>1</v>
      </c>
      <c r="L22">
        <v>2</v>
      </c>
      <c r="M22" t="s">
        <v>108</v>
      </c>
      <c r="N22" t="s">
        <v>98</v>
      </c>
      <c r="O22">
        <v>13.7</v>
      </c>
      <c r="P22">
        <v>2</v>
      </c>
      <c r="Q22">
        <v>87</v>
      </c>
      <c r="R22" t="s">
        <v>101</v>
      </c>
      <c r="T22" s="23"/>
      <c r="U22" s="126" t="s">
        <v>87</v>
      </c>
      <c r="V22" s="127" t="s">
        <v>88</v>
      </c>
      <c r="W22" s="25"/>
      <c r="X22" s="155" t="s">
        <v>105</v>
      </c>
      <c r="Y22" s="156"/>
      <c r="Z22" s="156"/>
      <c r="AA22" s="156"/>
      <c r="AB22" s="157"/>
      <c r="AC22" s="25"/>
      <c r="AD22" s="25"/>
      <c r="AE22" s="28"/>
    </row>
    <row r="23" spans="2:31" ht="15.75" thickBot="1" x14ac:dyDescent="0.3">
      <c r="B23">
        <v>1</v>
      </c>
      <c r="C23">
        <v>5</v>
      </c>
      <c r="D23" t="s">
        <v>111</v>
      </c>
      <c r="E23" t="s">
        <v>98</v>
      </c>
      <c r="F23">
        <v>14.3</v>
      </c>
      <c r="G23">
        <v>2</v>
      </c>
      <c r="H23">
        <v>80</v>
      </c>
      <c r="I23" t="s">
        <v>101</v>
      </c>
      <c r="K23">
        <v>1</v>
      </c>
      <c r="L23">
        <v>3</v>
      </c>
      <c r="M23" t="s">
        <v>109</v>
      </c>
      <c r="N23" t="s">
        <v>98</v>
      </c>
      <c r="O23">
        <v>18.2</v>
      </c>
      <c r="P23">
        <v>2</v>
      </c>
      <c r="Q23">
        <v>90</v>
      </c>
      <c r="R23" t="s">
        <v>101</v>
      </c>
      <c r="T23" s="23"/>
      <c r="U23" s="25"/>
      <c r="V23" s="25"/>
      <c r="W23" s="25"/>
      <c r="X23" s="154" t="s">
        <v>102</v>
      </c>
      <c r="Y23" s="148"/>
      <c r="Z23" s="148" t="s">
        <v>103</v>
      </c>
      <c r="AA23" s="148"/>
      <c r="AB23" s="149"/>
      <c r="AC23" s="25"/>
      <c r="AD23" s="25"/>
      <c r="AE23" s="28"/>
    </row>
    <row r="24" spans="2:31" ht="15.75" thickBot="1" x14ac:dyDescent="0.3">
      <c r="B24">
        <v>1</v>
      </c>
      <c r="C24">
        <v>6</v>
      </c>
      <c r="D24" t="s">
        <v>112</v>
      </c>
      <c r="E24" t="s">
        <v>113</v>
      </c>
      <c r="F24">
        <v>13.3</v>
      </c>
      <c r="G24">
        <v>2</v>
      </c>
      <c r="H24">
        <v>83</v>
      </c>
      <c r="I24" t="s">
        <v>101</v>
      </c>
      <c r="K24">
        <v>1</v>
      </c>
      <c r="L24">
        <v>4</v>
      </c>
      <c r="M24" t="s">
        <v>110</v>
      </c>
      <c r="N24" t="s">
        <v>98</v>
      </c>
      <c r="O24">
        <v>14.7</v>
      </c>
      <c r="P24">
        <v>2</v>
      </c>
      <c r="Q24">
        <v>93</v>
      </c>
      <c r="R24" t="s">
        <v>101</v>
      </c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2:31" x14ac:dyDescent="0.25">
      <c r="B25">
        <v>1</v>
      </c>
      <c r="C25">
        <v>7</v>
      </c>
      <c r="D25" t="s">
        <v>114</v>
      </c>
      <c r="E25" t="s">
        <v>98</v>
      </c>
      <c r="F25">
        <v>15.7</v>
      </c>
      <c r="G25">
        <v>2</v>
      </c>
      <c r="H25">
        <v>86</v>
      </c>
      <c r="I25" t="s">
        <v>101</v>
      </c>
      <c r="K25">
        <v>1</v>
      </c>
      <c r="L25">
        <v>5</v>
      </c>
      <c r="M25" t="s">
        <v>111</v>
      </c>
      <c r="N25" t="s">
        <v>98</v>
      </c>
      <c r="O25">
        <v>14.3</v>
      </c>
      <c r="P25">
        <v>2</v>
      </c>
      <c r="Q25">
        <v>96</v>
      </c>
      <c r="R25" t="s">
        <v>101</v>
      </c>
    </row>
    <row r="26" spans="2:31" x14ac:dyDescent="0.25">
      <c r="B26">
        <v>1</v>
      </c>
      <c r="C26">
        <v>1</v>
      </c>
      <c r="D26" t="s">
        <v>115</v>
      </c>
      <c r="E26" t="s">
        <v>98</v>
      </c>
      <c r="F26">
        <v>34.799999999999997</v>
      </c>
      <c r="G26">
        <v>4</v>
      </c>
      <c r="H26">
        <v>56</v>
      </c>
      <c r="I26" t="s">
        <v>101</v>
      </c>
      <c r="K26">
        <v>1</v>
      </c>
      <c r="L26">
        <v>6</v>
      </c>
      <c r="M26" t="s">
        <v>112</v>
      </c>
      <c r="N26" t="s">
        <v>113</v>
      </c>
      <c r="O26">
        <v>13.3</v>
      </c>
      <c r="P26">
        <v>2</v>
      </c>
      <c r="Q26">
        <v>98</v>
      </c>
      <c r="R26" t="s">
        <v>101</v>
      </c>
    </row>
    <row r="27" spans="2:31" x14ac:dyDescent="0.25">
      <c r="B27">
        <v>1</v>
      </c>
      <c r="C27">
        <v>2</v>
      </c>
      <c r="D27" t="s">
        <v>116</v>
      </c>
      <c r="E27" t="s">
        <v>98</v>
      </c>
      <c r="F27">
        <v>29</v>
      </c>
      <c r="G27">
        <v>4</v>
      </c>
      <c r="H27">
        <v>64</v>
      </c>
      <c r="I27" t="s">
        <v>101</v>
      </c>
      <c r="K27">
        <v>1</v>
      </c>
      <c r="L27">
        <v>7</v>
      </c>
      <c r="M27" t="s">
        <v>114</v>
      </c>
      <c r="N27" t="s">
        <v>98</v>
      </c>
      <c r="O27">
        <v>15.7</v>
      </c>
      <c r="P27">
        <v>2</v>
      </c>
      <c r="Q27">
        <v>104</v>
      </c>
      <c r="R27" t="s">
        <v>101</v>
      </c>
    </row>
    <row r="28" spans="2:31" x14ac:dyDescent="0.25">
      <c r="B28">
        <v>1</v>
      </c>
      <c r="C28">
        <v>3</v>
      </c>
      <c r="D28" t="s">
        <v>118</v>
      </c>
      <c r="E28" t="s">
        <v>98</v>
      </c>
      <c r="F28">
        <v>26.9</v>
      </c>
      <c r="G28">
        <v>4</v>
      </c>
      <c r="H28">
        <v>73</v>
      </c>
      <c r="I28" t="s">
        <v>101</v>
      </c>
      <c r="K28">
        <v>1</v>
      </c>
      <c r="L28">
        <v>1</v>
      </c>
      <c r="M28" t="s">
        <v>115</v>
      </c>
      <c r="N28" t="s">
        <v>98</v>
      </c>
      <c r="O28">
        <v>34.799999999999997</v>
      </c>
      <c r="P28">
        <v>4</v>
      </c>
      <c r="Q28">
        <v>88</v>
      </c>
      <c r="R28" t="s">
        <v>101</v>
      </c>
    </row>
    <row r="29" spans="2:31" x14ac:dyDescent="0.25">
      <c r="B29">
        <v>1</v>
      </c>
      <c r="C29">
        <v>4</v>
      </c>
      <c r="D29" t="s">
        <v>117</v>
      </c>
      <c r="E29" t="s">
        <v>98</v>
      </c>
      <c r="F29">
        <v>20.399999999999999</v>
      </c>
      <c r="G29">
        <v>3</v>
      </c>
      <c r="H29">
        <v>74</v>
      </c>
      <c r="I29" t="s">
        <v>101</v>
      </c>
      <c r="K29">
        <v>1</v>
      </c>
      <c r="L29">
        <v>2</v>
      </c>
      <c r="M29" t="s">
        <v>116</v>
      </c>
      <c r="N29" t="s">
        <v>98</v>
      </c>
      <c r="O29">
        <v>29</v>
      </c>
      <c r="P29">
        <v>4</v>
      </c>
      <c r="Q29">
        <v>90</v>
      </c>
      <c r="R29" t="s">
        <v>101</v>
      </c>
      <c r="W29">
        <v>0</v>
      </c>
    </row>
    <row r="30" spans="2:31" x14ac:dyDescent="0.25">
      <c r="B30">
        <v>1</v>
      </c>
      <c r="C30">
        <v>5</v>
      </c>
      <c r="D30" t="s">
        <v>120</v>
      </c>
      <c r="E30" t="s">
        <v>98</v>
      </c>
      <c r="F30">
        <v>28.8</v>
      </c>
      <c r="G30">
        <v>4</v>
      </c>
      <c r="H30">
        <v>75</v>
      </c>
      <c r="I30" t="s">
        <v>101</v>
      </c>
      <c r="K30">
        <v>1</v>
      </c>
      <c r="L30">
        <v>3</v>
      </c>
      <c r="M30" t="s">
        <v>117</v>
      </c>
      <c r="N30" t="s">
        <v>98</v>
      </c>
      <c r="O30">
        <v>20.399999999999999</v>
      </c>
      <c r="P30">
        <v>3</v>
      </c>
      <c r="Q30">
        <v>93</v>
      </c>
      <c r="R30" t="s">
        <v>101</v>
      </c>
    </row>
    <row r="31" spans="2:31" x14ac:dyDescent="0.25">
      <c r="B31">
        <v>1</v>
      </c>
      <c r="C31">
        <v>6</v>
      </c>
      <c r="D31" t="s">
        <v>119</v>
      </c>
      <c r="E31" t="s">
        <v>98</v>
      </c>
      <c r="F31">
        <v>22.1</v>
      </c>
      <c r="G31">
        <v>3</v>
      </c>
      <c r="H31">
        <v>76</v>
      </c>
      <c r="I31" t="s">
        <v>101</v>
      </c>
      <c r="K31">
        <v>1</v>
      </c>
      <c r="L31">
        <v>4</v>
      </c>
      <c r="M31" t="s">
        <v>118</v>
      </c>
      <c r="N31" t="s">
        <v>98</v>
      </c>
      <c r="O31">
        <v>26.9</v>
      </c>
      <c r="P31">
        <v>4</v>
      </c>
      <c r="Q31">
        <v>96</v>
      </c>
      <c r="R31" t="s">
        <v>101</v>
      </c>
    </row>
    <row r="32" spans="2:31" x14ac:dyDescent="0.25">
      <c r="B32">
        <v>1</v>
      </c>
      <c r="C32">
        <v>7</v>
      </c>
      <c r="D32" t="s">
        <v>122</v>
      </c>
      <c r="E32" t="s">
        <v>98</v>
      </c>
      <c r="F32">
        <v>23.9</v>
      </c>
      <c r="G32">
        <v>3</v>
      </c>
      <c r="H32">
        <v>77</v>
      </c>
      <c r="I32" t="s">
        <v>101</v>
      </c>
      <c r="K32">
        <v>1</v>
      </c>
      <c r="L32">
        <v>5</v>
      </c>
      <c r="M32" t="s">
        <v>119</v>
      </c>
      <c r="N32" t="s">
        <v>98</v>
      </c>
      <c r="O32">
        <v>22.1</v>
      </c>
      <c r="P32">
        <v>3</v>
      </c>
      <c r="Q32">
        <v>97</v>
      </c>
      <c r="R32" t="s">
        <v>101</v>
      </c>
    </row>
    <row r="33" spans="2:18" x14ac:dyDescent="0.25">
      <c r="B33">
        <v>1</v>
      </c>
      <c r="C33">
        <v>8</v>
      </c>
      <c r="D33" t="s">
        <v>124</v>
      </c>
      <c r="E33" t="s">
        <v>98</v>
      </c>
      <c r="F33">
        <v>33</v>
      </c>
      <c r="G33">
        <v>4</v>
      </c>
      <c r="H33">
        <v>80</v>
      </c>
      <c r="I33" t="s">
        <v>101</v>
      </c>
      <c r="K33">
        <v>1</v>
      </c>
      <c r="L33">
        <v>6</v>
      </c>
      <c r="M33" t="s">
        <v>120</v>
      </c>
      <c r="N33" t="s">
        <v>98</v>
      </c>
      <c r="O33">
        <v>28.8</v>
      </c>
      <c r="P33">
        <v>4</v>
      </c>
      <c r="Q33">
        <v>100</v>
      </c>
      <c r="R33" t="s">
        <v>101</v>
      </c>
    </row>
    <row r="34" spans="2:18" x14ac:dyDescent="0.25">
      <c r="B34">
        <v>1</v>
      </c>
      <c r="C34">
        <v>9</v>
      </c>
      <c r="D34" t="s">
        <v>121</v>
      </c>
      <c r="E34" t="s">
        <v>98</v>
      </c>
      <c r="F34">
        <v>20.2</v>
      </c>
      <c r="G34">
        <v>3</v>
      </c>
      <c r="H34">
        <v>81</v>
      </c>
      <c r="I34" t="s">
        <v>101</v>
      </c>
      <c r="K34">
        <v>1</v>
      </c>
      <c r="L34">
        <v>7</v>
      </c>
      <c r="M34" t="s">
        <v>121</v>
      </c>
      <c r="N34" t="s">
        <v>98</v>
      </c>
      <c r="O34">
        <v>20.2</v>
      </c>
      <c r="P34">
        <v>3</v>
      </c>
      <c r="Q34">
        <v>100</v>
      </c>
      <c r="R34" t="s">
        <v>101</v>
      </c>
    </row>
    <row r="35" spans="2:18" x14ac:dyDescent="0.25">
      <c r="B35">
        <v>1</v>
      </c>
      <c r="C35">
        <v>10</v>
      </c>
      <c r="D35" t="s">
        <v>123</v>
      </c>
      <c r="E35" t="s">
        <v>98</v>
      </c>
      <c r="F35">
        <v>27.2</v>
      </c>
      <c r="G35">
        <v>4</v>
      </c>
      <c r="H35">
        <v>83</v>
      </c>
      <c r="I35" t="s">
        <v>101</v>
      </c>
      <c r="K35">
        <v>1</v>
      </c>
      <c r="L35">
        <v>8</v>
      </c>
      <c r="M35" t="s">
        <v>122</v>
      </c>
      <c r="N35" t="s">
        <v>98</v>
      </c>
      <c r="O35">
        <v>23.9</v>
      </c>
      <c r="P35">
        <v>3</v>
      </c>
      <c r="Q35">
        <v>100</v>
      </c>
      <c r="R35" t="s">
        <v>101</v>
      </c>
    </row>
    <row r="36" spans="2:18" x14ac:dyDescent="0.25">
      <c r="F36"/>
      <c r="K36">
        <v>1</v>
      </c>
      <c r="L36">
        <v>9</v>
      </c>
      <c r="M36" t="s">
        <v>123</v>
      </c>
      <c r="N36" t="s">
        <v>98</v>
      </c>
      <c r="O36">
        <v>27.2</v>
      </c>
      <c r="P36">
        <v>4</v>
      </c>
      <c r="Q36">
        <v>107</v>
      </c>
      <c r="R36" t="s">
        <v>101</v>
      </c>
    </row>
    <row r="37" spans="2:18" x14ac:dyDescent="0.25">
      <c r="F37"/>
      <c r="K37">
        <v>1</v>
      </c>
      <c r="L37">
        <v>10</v>
      </c>
      <c r="M37" t="s">
        <v>124</v>
      </c>
      <c r="N37" t="s">
        <v>98</v>
      </c>
      <c r="O37">
        <v>33</v>
      </c>
      <c r="P37">
        <v>4</v>
      </c>
      <c r="Q37">
        <v>110</v>
      </c>
      <c r="R37" t="s">
        <v>101</v>
      </c>
    </row>
    <row r="38" spans="2:18" x14ac:dyDescent="0.25">
      <c r="F38"/>
      <c r="O38"/>
    </row>
    <row r="39" spans="2:18" x14ac:dyDescent="0.25">
      <c r="F39"/>
      <c r="O39"/>
    </row>
    <row r="40" spans="2:18" x14ac:dyDescent="0.25">
      <c r="F40"/>
      <c r="O40"/>
    </row>
    <row r="41" spans="2:18" x14ac:dyDescent="0.25">
      <c r="F41"/>
      <c r="O41"/>
    </row>
    <row r="42" spans="2:18" x14ac:dyDescent="0.25">
      <c r="F42"/>
      <c r="O42"/>
    </row>
    <row r="43" spans="2:18" x14ac:dyDescent="0.25">
      <c r="F43"/>
      <c r="O43"/>
    </row>
    <row r="44" spans="2:18" x14ac:dyDescent="0.25">
      <c r="F44"/>
      <c r="O44"/>
    </row>
    <row r="45" spans="2:18" x14ac:dyDescent="0.25">
      <c r="F45"/>
      <c r="O45"/>
    </row>
    <row r="46" spans="2:18" x14ac:dyDescent="0.25">
      <c r="F46"/>
      <c r="O46"/>
    </row>
    <row r="47" spans="2:18" x14ac:dyDescent="0.25">
      <c r="F47"/>
      <c r="O47"/>
    </row>
    <row r="48" spans="2:18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tScoresFromFFGolfHommeDame">
                <anchor moveWithCells="1" sizeWithCells="1">
                  <from>
                    <xdr:col>2</xdr:col>
                    <xdr:colOff>342900</xdr:colOff>
                    <xdr:row>5</xdr:row>
                    <xdr:rowOff>238125</xdr:rowOff>
                  </from>
                  <to>
                    <xdr:col>3</xdr:col>
                    <xdr:colOff>1771650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933450</xdr:colOff>
                    <xdr:row>6</xdr:row>
                    <xdr:rowOff>228600</xdr:rowOff>
                  </from>
                  <to>
                    <xdr:col>6</xdr:col>
                    <xdr:colOff>133350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ImporterBrutNet">
                <anchor moveWithCells="1" sizeWithCells="1">
                  <from>
                    <xdr:col>4</xdr:col>
                    <xdr:colOff>942975</xdr:colOff>
                    <xdr:row>9</xdr:row>
                    <xdr:rowOff>76200</xdr:rowOff>
                  </from>
                  <to>
                    <xdr:col>6</xdr:col>
                    <xdr:colOff>142875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 macro="[0]!RetraitementFeuilleMatchFFGolf">
                <anchor moveWithCells="1">
                  <from>
                    <xdr:col>6</xdr:col>
                    <xdr:colOff>257175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">
                <anchor moveWithCells="1">
                  <from>
                    <xdr:col>7</xdr:col>
                    <xdr:colOff>381000</xdr:colOff>
                    <xdr:row>6</xdr:row>
                    <xdr:rowOff>180975</xdr:rowOff>
                  </from>
                  <to>
                    <xdr:col>9</xdr:col>
                    <xdr:colOff>133350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locked="0"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66675</xdr:rowOff>
                  </from>
                  <to>
                    <xdr:col>3</xdr:col>
                    <xdr:colOff>1009650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Button 20">
              <controlPr defaultSize="0" autoFill="0" autoPict="0" macro="[0]!_xludf.extract">
                <anchor moveWithCells="1" sizeWithCells="1">
                  <from>
                    <xdr:col>12</xdr:col>
                    <xdr:colOff>571500</xdr:colOff>
                    <xdr:row>11</xdr:row>
                    <xdr:rowOff>85725</xdr:rowOff>
                  </from>
                  <to>
                    <xdr:col>13</xdr:col>
                    <xdr:colOff>638175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6">
    <tablePart r:id="rId17"/>
    <tablePart r:id="rId18"/>
    <tablePart r:id="rId19"/>
    <tablePart r:id="rId20"/>
    <tablePart r:id="rId21"/>
    <tablePart r:id="rId2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tabSelected="1" zoomScale="55" zoomScaleNormal="55" workbookViewId="0">
      <pane xSplit="5" topLeftCell="F1" activePane="topRight" state="frozen"/>
      <selection pane="topRight" activeCell="F4" sqref="F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2</v>
      </c>
      <c r="C2" s="75" t="s">
        <v>37</v>
      </c>
      <c r="E2" s="19"/>
      <c r="F2" s="182" t="s">
        <v>18</v>
      </c>
      <c r="G2" s="183"/>
      <c r="H2" s="183"/>
      <c r="I2" s="184"/>
      <c r="J2" s="185" t="s">
        <v>19</v>
      </c>
      <c r="K2" s="186"/>
      <c r="L2" s="186"/>
      <c r="M2" s="187"/>
      <c r="N2" s="188" t="s">
        <v>20</v>
      </c>
      <c r="O2" s="183"/>
      <c r="P2" s="183"/>
      <c r="Q2" s="184"/>
      <c r="R2" s="185" t="s">
        <v>21</v>
      </c>
      <c r="S2" s="186"/>
      <c r="T2" s="186"/>
      <c r="U2" s="187"/>
      <c r="V2" s="188" t="s">
        <v>22</v>
      </c>
      <c r="W2" s="183"/>
      <c r="X2" s="183"/>
      <c r="Y2" s="184"/>
      <c r="Z2" s="185" t="s">
        <v>23</v>
      </c>
      <c r="AA2" s="186"/>
      <c r="AB2" s="186"/>
      <c r="AC2" s="189"/>
      <c r="AD2" s="175" t="s">
        <v>82</v>
      </c>
      <c r="AE2" s="176"/>
      <c r="AF2" s="177" t="s">
        <v>17</v>
      </c>
      <c r="AG2" s="178"/>
      <c r="AH2" s="178"/>
      <c r="AI2" s="179"/>
      <c r="AJ2" s="180" t="s">
        <v>25</v>
      </c>
      <c r="AK2" s="181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52</v>
      </c>
      <c r="G3" s="89" t="s">
        <v>40</v>
      </c>
      <c r="H3" s="90" t="s">
        <v>61</v>
      </c>
      <c r="I3" s="91" t="s">
        <v>41</v>
      </c>
      <c r="J3" s="92" t="s">
        <v>53</v>
      </c>
      <c r="K3" s="89" t="s">
        <v>42</v>
      </c>
      <c r="L3" s="90" t="s">
        <v>62</v>
      </c>
      <c r="M3" s="91" t="s">
        <v>43</v>
      </c>
      <c r="N3" s="92" t="s">
        <v>54</v>
      </c>
      <c r="O3" s="89" t="s">
        <v>44</v>
      </c>
      <c r="P3" s="90" t="s">
        <v>63</v>
      </c>
      <c r="Q3" s="91" t="s">
        <v>45</v>
      </c>
      <c r="R3" s="92" t="s">
        <v>55</v>
      </c>
      <c r="S3" s="89" t="s">
        <v>46</v>
      </c>
      <c r="T3" s="90" t="s">
        <v>64</v>
      </c>
      <c r="U3" s="91" t="s">
        <v>47</v>
      </c>
      <c r="V3" s="92" t="s">
        <v>56</v>
      </c>
      <c r="W3" s="89" t="s">
        <v>48</v>
      </c>
      <c r="X3" s="90" t="s">
        <v>65</v>
      </c>
      <c r="Y3" s="91" t="s">
        <v>49</v>
      </c>
      <c r="Z3" s="92" t="s">
        <v>57</v>
      </c>
      <c r="AA3" s="89" t="s">
        <v>50</v>
      </c>
      <c r="AB3" s="90" t="s">
        <v>66</v>
      </c>
      <c r="AC3" s="93" t="s">
        <v>51</v>
      </c>
      <c r="AD3" s="94" t="s">
        <v>58</v>
      </c>
      <c r="AE3" s="95" t="s">
        <v>67</v>
      </c>
      <c r="AF3" s="88" t="s">
        <v>59</v>
      </c>
      <c r="AG3" s="89" t="s">
        <v>38</v>
      </c>
      <c r="AH3" s="90" t="s">
        <v>68</v>
      </c>
      <c r="AI3" s="96" t="s">
        <v>39</v>
      </c>
      <c r="AJ3" s="97" t="s">
        <v>60</v>
      </c>
      <c r="AK3" s="98" t="s">
        <v>69</v>
      </c>
    </row>
    <row r="4" spans="2:37" ht="21" x14ac:dyDescent="0.35">
      <c r="B4" s="146" t="s">
        <v>97</v>
      </c>
      <c r="C4" s="146" t="s">
        <v>98</v>
      </c>
      <c r="D4" s="146">
        <v>18.2</v>
      </c>
      <c r="E4" s="146">
        <v>2</v>
      </c>
      <c r="F4" s="146">
        <v>69</v>
      </c>
      <c r="G4" s="146">
        <v>1</v>
      </c>
      <c r="H4" s="146">
        <v>90</v>
      </c>
      <c r="I4" s="146">
        <v>1</v>
      </c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7">
        <f>IF(MIN(F4,J4,N4,R4,V4,Z4)&lt;&gt;0,MIN(F4,J4,N4,R4,V4,Z4),"")</f>
        <v>69</v>
      </c>
      <c r="AE4" s="147">
        <f>IF(MIN(H4,L4,P4,T4,X4,AB4)&lt;&gt;0,MIN(H4,L4,P4,T4,X4,AB4),"")</f>
        <v>90</v>
      </c>
      <c r="AF4" s="147"/>
      <c r="AG4" s="146"/>
      <c r="AH4" s="147"/>
      <c r="AI4" s="146"/>
      <c r="AJ4" s="145" t="str">
        <f>IF(AD4="","",IF(ISBLANK(AF4),"En cours",AD4+AF4))</f>
        <v>En cours</v>
      </c>
      <c r="AK4" s="145" t="str">
        <f>IF(AE4="","",IF(ISBLANK(AH4),"En cours",AE4+AH4))</f>
        <v>En cours</v>
      </c>
    </row>
    <row r="5" spans="2:37" ht="21" x14ac:dyDescent="0.35">
      <c r="B5" s="146" t="s">
        <v>100</v>
      </c>
      <c r="C5" s="146" t="s">
        <v>98</v>
      </c>
      <c r="D5" s="146">
        <v>8.1999999999999993</v>
      </c>
      <c r="E5" s="146">
        <v>1</v>
      </c>
      <c r="F5" s="146">
        <v>70</v>
      </c>
      <c r="G5" s="146">
        <v>2</v>
      </c>
      <c r="H5" s="146">
        <v>80</v>
      </c>
      <c r="I5" s="146">
        <v>1</v>
      </c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7">
        <f>IF(MIN(F5,J5,N5,R5,V5,Z5)&lt;&gt;0,MIN(F5,J5,N5,R5,V5,Z5),"")</f>
        <v>70</v>
      </c>
      <c r="AE5" s="147">
        <f>IF(MIN(H5,L5,P5,T5,X5,AB5)&lt;&gt;0,MIN(H5,L5,P5,T5,X5,AB5),"")</f>
        <v>80</v>
      </c>
      <c r="AF5" s="147"/>
      <c r="AG5" s="146"/>
      <c r="AH5" s="147"/>
      <c r="AI5" s="146"/>
      <c r="AJ5" s="145" t="str">
        <f>IF(AD5="","",IF(ISBLANK(AF5),"En cours",AD5+AF5))</f>
        <v>En cours</v>
      </c>
      <c r="AK5" s="145" t="str">
        <f>IF(AE5="","",IF(ISBLANK(AH5),"En cours",AE5+AH5))</f>
        <v>En cours</v>
      </c>
    </row>
    <row r="6" spans="2:37" ht="21" x14ac:dyDescent="0.35">
      <c r="B6" s="146"/>
      <c r="C6" s="146" t="s">
        <v>98</v>
      </c>
      <c r="D6" s="146">
        <v>13.7</v>
      </c>
      <c r="E6" s="146">
        <v>2</v>
      </c>
      <c r="F6" s="146">
        <v>71</v>
      </c>
      <c r="G6" s="146">
        <v>3</v>
      </c>
      <c r="H6" s="146">
        <v>87</v>
      </c>
      <c r="I6" s="146">
        <v>1</v>
      </c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7">
        <f>IF(MIN(F6,J6,N6,R6,V6,Z6)&lt;&gt;0,MIN(F6,J6,N6,R6,V6,Z6),"")</f>
        <v>71</v>
      </c>
      <c r="AE6" s="147">
        <f>IF(MIN(H6,L6,P6,T6,X6,AB6)&lt;&gt;0,MIN(H6,L6,P6,T6,X6,AB6),"")</f>
        <v>87</v>
      </c>
      <c r="AF6" s="147"/>
      <c r="AG6" s="146"/>
      <c r="AH6" s="147"/>
      <c r="AI6" s="146"/>
      <c r="AJ6" s="145" t="str">
        <f>IF(AD6="","",IF(ISBLANK(AF6),"En cours",AD6+AF6))</f>
        <v>En cours</v>
      </c>
      <c r="AK6" s="145" t="str">
        <f>IF(AE6="","",IF(ISBLANK(AH6),"En cours",AE6+AH6))</f>
        <v>En cours</v>
      </c>
    </row>
    <row r="7" spans="2:37" ht="21" x14ac:dyDescent="0.35">
      <c r="B7" s="146"/>
      <c r="C7" s="146" t="s">
        <v>98</v>
      </c>
      <c r="D7" s="146">
        <v>14.7</v>
      </c>
      <c r="E7" s="146">
        <v>2</v>
      </c>
      <c r="F7" s="146">
        <v>76</v>
      </c>
      <c r="G7" s="146">
        <v>4</v>
      </c>
      <c r="H7" s="146">
        <v>93</v>
      </c>
      <c r="I7" s="146">
        <v>1</v>
      </c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7">
        <f>IF(MIN(F7,J7,N7,R7,V7,Z7)&lt;&gt;0,MIN(F7,J7,N7,R7,V7,Z7),"")</f>
        <v>76</v>
      </c>
      <c r="AE7" s="147">
        <f>IF(MIN(H7,L7,P7,T7,X7,AB7)&lt;&gt;0,MIN(H7,L7,P7,T7,X7,AB7),"")</f>
        <v>93</v>
      </c>
      <c r="AF7" s="147"/>
      <c r="AG7" s="146"/>
      <c r="AH7" s="147"/>
      <c r="AI7" s="146"/>
      <c r="AJ7" s="145" t="str">
        <f>IF(AD7="","",IF(ISBLANK(AF7),"En cours",AD7+AF7))</f>
        <v>En cours</v>
      </c>
      <c r="AK7" s="145" t="str">
        <f>IF(AE7="","",IF(ISBLANK(AH7),"En cours",AE7+AH7))</f>
        <v>En cours</v>
      </c>
    </row>
    <row r="8" spans="2:37" ht="21" x14ac:dyDescent="0.35">
      <c r="B8" s="146"/>
      <c r="C8" s="146" t="s">
        <v>98</v>
      </c>
      <c r="D8" s="146">
        <v>14.3</v>
      </c>
      <c r="E8" s="146">
        <v>2</v>
      </c>
      <c r="F8" s="146">
        <v>80</v>
      </c>
      <c r="G8" s="146">
        <v>5</v>
      </c>
      <c r="H8" s="146">
        <v>96</v>
      </c>
      <c r="I8" s="146">
        <v>1</v>
      </c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7">
        <f>IF(MIN(F8,J8,N8,R8,V8,Z8)&lt;&gt;0,MIN(F8,J8,N8,R8,V8,Z8),"")</f>
        <v>80</v>
      </c>
      <c r="AE8" s="147">
        <f>IF(MIN(H8,L8,P8,T8,X8,AB8)&lt;&gt;0,MIN(H8,L8,P8,T8,X8,AB8),"")</f>
        <v>96</v>
      </c>
      <c r="AF8" s="147"/>
      <c r="AG8" s="146"/>
      <c r="AH8" s="147"/>
      <c r="AI8" s="146"/>
      <c r="AJ8" s="145" t="str">
        <f>IF(AD8="","",IF(ISBLANK(AF8),"En cours",AD8+AF8))</f>
        <v>En cours</v>
      </c>
      <c r="AK8" s="145" t="str">
        <f>IF(AE8="","",IF(ISBLANK(AH8),"En cours",AE8+AH8))</f>
        <v>En cours</v>
      </c>
    </row>
    <row r="9" spans="2:37" ht="21" x14ac:dyDescent="0.35">
      <c r="B9" s="146"/>
      <c r="C9" s="146" t="s">
        <v>113</v>
      </c>
      <c r="D9" s="146">
        <v>13.3</v>
      </c>
      <c r="E9" s="146">
        <v>2</v>
      </c>
      <c r="F9" s="146">
        <v>83</v>
      </c>
      <c r="G9" s="146">
        <v>6</v>
      </c>
      <c r="H9" s="146">
        <v>98</v>
      </c>
      <c r="I9" s="146">
        <v>1</v>
      </c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7">
        <f>IF(MIN(F9,J9,N9,R9,V9,Z9)&lt;&gt;0,MIN(F9,J9,N9,R9,V9,Z9),"")</f>
        <v>83</v>
      </c>
      <c r="AE9" s="147">
        <f>IF(MIN(H9,L9,P9,T9,X9,AB9)&lt;&gt;0,MIN(H9,L9,P9,T9,X9,AB9),"")</f>
        <v>98</v>
      </c>
      <c r="AF9" s="147"/>
      <c r="AG9" s="146"/>
      <c r="AH9" s="147"/>
      <c r="AI9" s="146"/>
      <c r="AJ9" s="145" t="str">
        <f>IF(AD9="","",IF(ISBLANK(AF9),"En cours",AD9+AF9))</f>
        <v>En cours</v>
      </c>
      <c r="AK9" s="145" t="str">
        <f>IF(AE9="","",IF(ISBLANK(AH9),"En cours",AE9+AH9))</f>
        <v>En cours</v>
      </c>
    </row>
    <row r="10" spans="2:37" ht="21" x14ac:dyDescent="0.35">
      <c r="B10" s="146"/>
      <c r="C10" s="146" t="s">
        <v>98</v>
      </c>
      <c r="D10" s="146">
        <v>15.7</v>
      </c>
      <c r="E10" s="146">
        <v>2</v>
      </c>
      <c r="F10" s="146">
        <v>86</v>
      </c>
      <c r="G10" s="146">
        <v>7</v>
      </c>
      <c r="H10" s="146">
        <v>104</v>
      </c>
      <c r="I10" s="146">
        <v>1</v>
      </c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7">
        <f>IF(MIN(F10,J10,N10,R10,V10,Z10)&lt;&gt;0,MIN(F10,J10,N10,R10,V10,Z10),"")</f>
        <v>86</v>
      </c>
      <c r="AE10" s="147">
        <f>IF(MIN(H10,L10,P10,T10,X10,AB10)&lt;&gt;0,MIN(H10,L10,P10,T10,X10,AB10),"")</f>
        <v>104</v>
      </c>
      <c r="AF10" s="147"/>
      <c r="AG10" s="146"/>
      <c r="AH10" s="147"/>
      <c r="AI10" s="146"/>
      <c r="AJ10" s="145" t="str">
        <f>IF(AD10="","",IF(ISBLANK(AF10),"En cours",AD10+AF10))</f>
        <v>En cours</v>
      </c>
      <c r="AK10" s="145" t="str">
        <f>IF(AE10="","",IF(ISBLANK(AH10),"En cours",AE10+AH10))</f>
        <v>En cours</v>
      </c>
    </row>
    <row r="11" spans="2:37" ht="21" x14ac:dyDescent="0.35">
      <c r="B11" s="146"/>
      <c r="C11" s="146" t="s">
        <v>98</v>
      </c>
      <c r="D11" s="146">
        <v>34.799999999999997</v>
      </c>
      <c r="E11" s="146">
        <v>4</v>
      </c>
      <c r="F11" s="146">
        <v>56</v>
      </c>
      <c r="G11" s="146">
        <v>1</v>
      </c>
      <c r="H11" s="146">
        <v>88</v>
      </c>
      <c r="I11" s="146">
        <v>1</v>
      </c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7">
        <f>IF(MIN(F11,J11,N11,R11,V11,Z11)&lt;&gt;0,MIN(F11,J11,N11,R11,V11,Z11),"")</f>
        <v>56</v>
      </c>
      <c r="AE11" s="147">
        <f>IF(MIN(H11,L11,P11,T11,X11,AB11)&lt;&gt;0,MIN(H11,L11,P11,T11,X11,AB11),"")</f>
        <v>88</v>
      </c>
      <c r="AF11" s="147"/>
      <c r="AG11" s="146"/>
      <c r="AH11" s="147"/>
      <c r="AI11" s="146"/>
      <c r="AJ11" s="145" t="str">
        <f>IF(AD11="","",IF(ISBLANK(AF11),"En cours",AD11+AF11))</f>
        <v>En cours</v>
      </c>
      <c r="AK11" s="145" t="str">
        <f>IF(AE11="","",IF(ISBLANK(AH11),"En cours",AE11+AH11))</f>
        <v>En cours</v>
      </c>
    </row>
    <row r="12" spans="2:37" ht="21" x14ac:dyDescent="0.35">
      <c r="B12" s="146"/>
      <c r="C12" s="146" t="s">
        <v>98</v>
      </c>
      <c r="D12" s="146">
        <v>29</v>
      </c>
      <c r="E12" s="146">
        <v>4</v>
      </c>
      <c r="F12" s="146">
        <v>64</v>
      </c>
      <c r="G12" s="146">
        <v>2</v>
      </c>
      <c r="H12" s="146">
        <v>90</v>
      </c>
      <c r="I12" s="146">
        <v>1</v>
      </c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7">
        <f>IF(MIN(F12,J12,N12,R12,V12,Z12)&lt;&gt;0,MIN(F12,J12,N12,R12,V12,Z12),"")</f>
        <v>64</v>
      </c>
      <c r="AE12" s="147">
        <f>IF(MIN(H12,L12,P12,T12,X12,AB12)&lt;&gt;0,MIN(H12,L12,P12,T12,X12,AB12),"")</f>
        <v>90</v>
      </c>
      <c r="AF12" s="147"/>
      <c r="AG12" s="146"/>
      <c r="AH12" s="147"/>
      <c r="AI12" s="146"/>
      <c r="AJ12" s="145" t="str">
        <f>IF(AD12="","",IF(ISBLANK(AF12),"En cours",AD12+AF12))</f>
        <v>En cours</v>
      </c>
      <c r="AK12" s="145" t="str">
        <f>IF(AE12="","",IF(ISBLANK(AH12),"En cours",AE12+AH12))</f>
        <v>En cours</v>
      </c>
    </row>
    <row r="13" spans="2:37" ht="21" x14ac:dyDescent="0.35">
      <c r="B13" s="146"/>
      <c r="C13" s="146" t="s">
        <v>98</v>
      </c>
      <c r="D13" s="146">
        <v>26.9</v>
      </c>
      <c r="E13" s="146">
        <v>4</v>
      </c>
      <c r="F13" s="146">
        <v>73</v>
      </c>
      <c r="G13" s="146">
        <v>3</v>
      </c>
      <c r="H13" s="146">
        <v>96</v>
      </c>
      <c r="I13" s="146">
        <v>1</v>
      </c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7">
        <f>IF(MIN(F13,J13,N13,R13,V13,Z13)&lt;&gt;0,MIN(F13,J13,N13,R13,V13,Z13),"")</f>
        <v>73</v>
      </c>
      <c r="AE13" s="147">
        <f>IF(MIN(H13,L13,P13,T13,X13,AB13)&lt;&gt;0,MIN(H13,L13,P13,T13,X13,AB13),"")</f>
        <v>96</v>
      </c>
      <c r="AF13" s="147"/>
      <c r="AG13" s="146"/>
      <c r="AH13" s="147"/>
      <c r="AI13" s="146"/>
      <c r="AJ13" s="145" t="str">
        <f>IF(AD13="","",IF(ISBLANK(AF13),"En cours",AD13+AF13))</f>
        <v>En cours</v>
      </c>
      <c r="AK13" s="145" t="str">
        <f>IF(AE13="","",IF(ISBLANK(AH13),"En cours",AE13+AH13))</f>
        <v>En cours</v>
      </c>
    </row>
    <row r="14" spans="2:37" ht="21" x14ac:dyDescent="0.35">
      <c r="B14" s="146"/>
      <c r="C14" s="146" t="s">
        <v>98</v>
      </c>
      <c r="D14" s="146">
        <v>20.399999999999999</v>
      </c>
      <c r="E14" s="146">
        <v>3</v>
      </c>
      <c r="F14" s="146">
        <v>74</v>
      </c>
      <c r="G14" s="146">
        <v>4</v>
      </c>
      <c r="H14" s="146">
        <v>93</v>
      </c>
      <c r="I14" s="146">
        <v>1</v>
      </c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7">
        <f>IF(MIN(F14,J14,N14,R14,V14,Z14)&lt;&gt;0,MIN(F14,J14,N14,R14,V14,Z14),"")</f>
        <v>74</v>
      </c>
      <c r="AE14" s="147">
        <f>IF(MIN(H14,L14,P14,T14,X14,AB14)&lt;&gt;0,MIN(H14,L14,P14,T14,X14,AB14),"")</f>
        <v>93</v>
      </c>
      <c r="AF14" s="147"/>
      <c r="AG14" s="146"/>
      <c r="AH14" s="147"/>
      <c r="AI14" s="146"/>
      <c r="AJ14" s="145" t="str">
        <f>IF(AD14="","",IF(ISBLANK(AF14),"En cours",AD14+AF14))</f>
        <v>En cours</v>
      </c>
      <c r="AK14" s="145" t="str">
        <f>IF(AE14="","",IF(ISBLANK(AH14),"En cours",AE14+AH14))</f>
        <v>En cours</v>
      </c>
    </row>
    <row r="15" spans="2:37" ht="21" x14ac:dyDescent="0.35">
      <c r="B15" s="146"/>
      <c r="C15" s="146" t="s">
        <v>98</v>
      </c>
      <c r="D15" s="146">
        <v>28.8</v>
      </c>
      <c r="E15" s="146">
        <v>4</v>
      </c>
      <c r="F15" s="146">
        <v>75</v>
      </c>
      <c r="G15" s="146">
        <v>5</v>
      </c>
      <c r="H15" s="146">
        <v>100</v>
      </c>
      <c r="I15" s="146">
        <v>1</v>
      </c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7">
        <f>IF(MIN(F15,J15,N15,R15,V15,Z15)&lt;&gt;0,MIN(F15,J15,N15,R15,V15,Z15),"")</f>
        <v>75</v>
      </c>
      <c r="AE15" s="147">
        <f>IF(MIN(H15,L15,P15,T15,X15,AB15)&lt;&gt;0,MIN(H15,L15,P15,T15,X15,AB15),"")</f>
        <v>100</v>
      </c>
      <c r="AF15" s="147"/>
      <c r="AG15" s="146"/>
      <c r="AH15" s="147"/>
      <c r="AI15" s="146"/>
      <c r="AJ15" s="145" t="str">
        <f>IF(AD15="","",IF(ISBLANK(AF15),"En cours",AD15+AF15))</f>
        <v>En cours</v>
      </c>
      <c r="AK15" s="145" t="str">
        <f>IF(AE15="","",IF(ISBLANK(AH15),"En cours",AE15+AH15))</f>
        <v>En cours</v>
      </c>
    </row>
    <row r="16" spans="2:37" ht="21" x14ac:dyDescent="0.35">
      <c r="B16" s="146"/>
      <c r="C16" s="146" t="s">
        <v>98</v>
      </c>
      <c r="D16" s="146">
        <v>22.1</v>
      </c>
      <c r="E16" s="146">
        <v>3</v>
      </c>
      <c r="F16" s="146">
        <v>76</v>
      </c>
      <c r="G16" s="146">
        <v>6</v>
      </c>
      <c r="H16" s="146">
        <v>97</v>
      </c>
      <c r="I16" s="146">
        <v>1</v>
      </c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7">
        <f>IF(MIN(F16,J16,N16,R16,V16,Z16)&lt;&gt;0,MIN(F16,J16,N16,R16,V16,Z16),"")</f>
        <v>76</v>
      </c>
      <c r="AE16" s="147">
        <f>IF(MIN(H16,L16,P16,T16,X16,AB16)&lt;&gt;0,MIN(H16,L16,P16,T16,X16,AB16),"")</f>
        <v>97</v>
      </c>
      <c r="AF16" s="147"/>
      <c r="AG16" s="146"/>
      <c r="AH16" s="147"/>
      <c r="AI16" s="146"/>
      <c r="AJ16" s="145" t="str">
        <f>IF(AD16="","",IF(ISBLANK(AF16),"En cours",AD16+AF16))</f>
        <v>En cours</v>
      </c>
      <c r="AK16" s="145" t="str">
        <f>IF(AE16="","",IF(ISBLANK(AH16),"En cours",AE16+AH16))</f>
        <v>En cours</v>
      </c>
    </row>
    <row r="17" spans="2:37" ht="21" x14ac:dyDescent="0.35">
      <c r="B17" s="146"/>
      <c r="C17" s="146" t="s">
        <v>98</v>
      </c>
      <c r="D17" s="146">
        <v>23.9</v>
      </c>
      <c r="E17" s="146">
        <v>3</v>
      </c>
      <c r="F17" s="146">
        <v>77</v>
      </c>
      <c r="G17" s="146">
        <v>7</v>
      </c>
      <c r="H17" s="146">
        <v>100</v>
      </c>
      <c r="I17" s="146">
        <v>1</v>
      </c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7">
        <f>IF(MIN(F17,J17,N17,R17,V17,Z17)&lt;&gt;0,MIN(F17,J17,N17,R17,V17,Z17),"")</f>
        <v>77</v>
      </c>
      <c r="AE17" s="147">
        <f>IF(MIN(H17,L17,P17,T17,X17,AB17)&lt;&gt;0,MIN(H17,L17,P17,T17,X17,AB17),"")</f>
        <v>100</v>
      </c>
      <c r="AF17" s="147"/>
      <c r="AG17" s="146"/>
      <c r="AH17" s="147"/>
      <c r="AI17" s="146"/>
      <c r="AJ17" s="145" t="str">
        <f>IF(AD17="","",IF(ISBLANK(AF17),"En cours",AD17+AF17))</f>
        <v>En cours</v>
      </c>
      <c r="AK17" s="145" t="str">
        <f>IF(AE17="","",IF(ISBLANK(AH17),"En cours",AE17+AH17))</f>
        <v>En cours</v>
      </c>
    </row>
    <row r="18" spans="2:37" ht="21" x14ac:dyDescent="0.35">
      <c r="B18" s="146"/>
      <c r="C18" s="146" t="s">
        <v>98</v>
      </c>
      <c r="D18" s="146">
        <v>33</v>
      </c>
      <c r="E18" s="146">
        <v>4</v>
      </c>
      <c r="F18" s="146">
        <v>80</v>
      </c>
      <c r="G18" s="146">
        <v>8</v>
      </c>
      <c r="H18" s="146">
        <v>110</v>
      </c>
      <c r="I18" s="146">
        <v>1</v>
      </c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7">
        <f>IF(MIN(F18,J18,N18,R18,V18,Z18)&lt;&gt;0,MIN(F18,J18,N18,R18,V18,Z18),"")</f>
        <v>80</v>
      </c>
      <c r="AE18" s="147">
        <f>IF(MIN(H18,L18,P18,T18,X18,AB18)&lt;&gt;0,MIN(H18,L18,P18,T18,X18,AB18),"")</f>
        <v>110</v>
      </c>
      <c r="AF18" s="147"/>
      <c r="AG18" s="146"/>
      <c r="AH18" s="147"/>
      <c r="AI18" s="146"/>
      <c r="AJ18" s="145" t="str">
        <f>IF(AD18="","",IF(ISBLANK(AF18),"En cours",AD18+AF18))</f>
        <v>En cours</v>
      </c>
      <c r="AK18" s="145" t="str">
        <f>IF(AE18="","",IF(ISBLANK(AH18),"En cours",AE18+AH18))</f>
        <v>En cours</v>
      </c>
    </row>
    <row r="19" spans="2:37" ht="21" x14ac:dyDescent="0.35">
      <c r="B19" s="146"/>
      <c r="C19" s="146" t="s">
        <v>98</v>
      </c>
      <c r="D19" s="146">
        <v>20.2</v>
      </c>
      <c r="E19" s="146">
        <v>3</v>
      </c>
      <c r="F19" s="146">
        <v>81</v>
      </c>
      <c r="G19" s="146">
        <v>9</v>
      </c>
      <c r="H19" s="146">
        <v>100</v>
      </c>
      <c r="I19" s="146">
        <v>1</v>
      </c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7">
        <f>IF(MIN(F19,J19,N19,R19,V19,Z19)&lt;&gt;0,MIN(F19,J19,N19,R19,V19,Z19),"")</f>
        <v>81</v>
      </c>
      <c r="AE19" s="147">
        <f>IF(MIN(H19,L19,P19,T19,X19,AB19)&lt;&gt;0,MIN(H19,L19,P19,T19,X19,AB19),"")</f>
        <v>100</v>
      </c>
      <c r="AF19" s="147"/>
      <c r="AG19" s="146"/>
      <c r="AH19" s="147"/>
      <c r="AI19" s="146"/>
      <c r="AJ19" s="145" t="str">
        <f>IF(AD19="","",IF(ISBLANK(AF19),"En cours",AD19+AF19))</f>
        <v>En cours</v>
      </c>
      <c r="AK19" s="145" t="str">
        <f>IF(AE19="","",IF(ISBLANK(AH19),"En cours",AE19+AH19))</f>
        <v>En cours</v>
      </c>
    </row>
    <row r="20" spans="2:37" ht="21" x14ac:dyDescent="0.35">
      <c r="B20" s="146"/>
      <c r="C20" s="146" t="s">
        <v>98</v>
      </c>
      <c r="D20" s="146">
        <v>27.2</v>
      </c>
      <c r="E20" s="146">
        <v>4</v>
      </c>
      <c r="F20" s="146">
        <v>83</v>
      </c>
      <c r="G20" s="146">
        <v>10</v>
      </c>
      <c r="H20" s="146">
        <v>107</v>
      </c>
      <c r="I20" s="146">
        <v>1</v>
      </c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7">
        <f>IF(MIN(F20,J20,N20,R20,V20,Z20)&lt;&gt;0,MIN(F20,J20,N20,R20,V20,Z20),"")</f>
        <v>83</v>
      </c>
      <c r="AE20" s="147">
        <f>IF(MIN(H20,L20,P20,T20,X20,AB20)&lt;&gt;0,MIN(H20,L20,P20,T20,X20,AB20),"")</f>
        <v>107</v>
      </c>
      <c r="AF20" s="147"/>
      <c r="AG20" s="146"/>
      <c r="AH20" s="147"/>
      <c r="AI20" s="146"/>
      <c r="AJ20" s="145" t="str">
        <f>IF(AD20="","",IF(ISBLANK(AF20),"En cours",AD20+AF20))</f>
        <v>En cours</v>
      </c>
      <c r="AK20" s="145" t="str">
        <f>IF(AE20="","",IF(ISBLANK(AH20),"En cours",AE20+AH20))</f>
        <v>En cours</v>
      </c>
    </row>
    <row r="21" spans="2:37" ht="21" x14ac:dyDescent="0.35">
      <c r="B21" s="146"/>
      <c r="C21" s="146"/>
      <c r="D21" s="146"/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7" t="str">
        <f t="shared" ref="AD6:AD42" si="0">IF(MIN(F21,J21,N21,R21,V21,Z21)&lt;&gt;0,MIN(F21,J21,N21,R21,V21,Z21),"")</f>
        <v/>
      </c>
      <c r="AE21" s="147" t="str">
        <f t="shared" ref="AE6:AE42" si="1">IF(MIN(H21,L21,P21,T21,X21,AB21)&lt;&gt;0,MIN(H21,L21,P21,T21,X21,AB21),"")</f>
        <v/>
      </c>
      <c r="AF21" s="147"/>
      <c r="AG21" s="146"/>
      <c r="AH21" s="147"/>
      <c r="AI21" s="146"/>
      <c r="AJ21" s="145" t="str">
        <f t="shared" ref="AJ6:AJ42" si="2">IF(AD21="","",IF(ISBLANK(AF21),"En cours",AD21+AF21))</f>
        <v/>
      </c>
      <c r="AK21" s="145" t="str">
        <f t="shared" ref="AK6:AK42" si="3">IF(AE21="","",IF(ISBLANK(AH21),"En cours",AE21+AH21))</f>
        <v/>
      </c>
    </row>
    <row r="22" spans="2:37" ht="21" x14ac:dyDescent="0.35">
      <c r="B22" s="146"/>
      <c r="C22" s="146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7" t="str">
        <f t="shared" si="0"/>
        <v/>
      </c>
      <c r="AE22" s="147" t="str">
        <f t="shared" si="1"/>
        <v/>
      </c>
      <c r="AF22" s="147"/>
      <c r="AG22" s="146"/>
      <c r="AH22" s="147"/>
      <c r="AI22" s="146"/>
      <c r="AJ22" s="145" t="str">
        <f t="shared" si="2"/>
        <v/>
      </c>
      <c r="AK22" s="145" t="str">
        <f t="shared" si="3"/>
        <v/>
      </c>
    </row>
    <row r="23" spans="2:37" ht="21" x14ac:dyDescent="0.35">
      <c r="B23" s="146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7" t="str">
        <f t="shared" si="0"/>
        <v/>
      </c>
      <c r="AE23" s="147" t="str">
        <f t="shared" si="1"/>
        <v/>
      </c>
      <c r="AF23" s="147"/>
      <c r="AG23" s="146"/>
      <c r="AH23" s="147"/>
      <c r="AI23" s="146"/>
      <c r="AJ23" s="145" t="str">
        <f t="shared" si="2"/>
        <v/>
      </c>
      <c r="AK23" s="145" t="str">
        <f t="shared" si="3"/>
        <v/>
      </c>
    </row>
    <row r="24" spans="2:37" ht="21" x14ac:dyDescent="0.35">
      <c r="B24" s="146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7" t="str">
        <f t="shared" si="0"/>
        <v/>
      </c>
      <c r="AE24" s="147" t="str">
        <f t="shared" si="1"/>
        <v/>
      </c>
      <c r="AF24" s="147"/>
      <c r="AG24" s="146"/>
      <c r="AH24" s="147"/>
      <c r="AI24" s="146"/>
      <c r="AJ24" s="145" t="str">
        <f t="shared" si="2"/>
        <v/>
      </c>
      <c r="AK24" s="145" t="str">
        <f t="shared" si="3"/>
        <v/>
      </c>
    </row>
    <row r="25" spans="2:37" ht="21" x14ac:dyDescent="0.35">
      <c r="B25" s="146"/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7" t="str">
        <f t="shared" si="0"/>
        <v/>
      </c>
      <c r="AE25" s="147" t="str">
        <f t="shared" si="1"/>
        <v/>
      </c>
      <c r="AF25" s="147"/>
      <c r="AG25" s="146"/>
      <c r="AH25" s="147"/>
      <c r="AI25" s="146"/>
      <c r="AJ25" s="145" t="str">
        <f t="shared" si="2"/>
        <v/>
      </c>
      <c r="AK25" s="145" t="str">
        <f t="shared" si="3"/>
        <v/>
      </c>
    </row>
    <row r="26" spans="2:37" ht="21" x14ac:dyDescent="0.35">
      <c r="B26" s="146"/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7" t="str">
        <f t="shared" si="0"/>
        <v/>
      </c>
      <c r="AE26" s="147" t="str">
        <f t="shared" si="1"/>
        <v/>
      </c>
      <c r="AF26" s="147"/>
      <c r="AG26" s="146"/>
      <c r="AH26" s="147"/>
      <c r="AI26" s="146"/>
      <c r="AJ26" s="145" t="str">
        <f t="shared" si="2"/>
        <v/>
      </c>
      <c r="AK26" s="145" t="str">
        <f t="shared" si="3"/>
        <v/>
      </c>
    </row>
    <row r="27" spans="2:37" ht="21" x14ac:dyDescent="0.35">
      <c r="B27" s="146"/>
      <c r="C27" s="146"/>
      <c r="D27" s="146"/>
      <c r="E27" s="146"/>
      <c r="F27" s="146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7" t="str">
        <f t="shared" si="0"/>
        <v/>
      </c>
      <c r="AE27" s="147" t="str">
        <f t="shared" si="1"/>
        <v/>
      </c>
      <c r="AF27" s="147"/>
      <c r="AG27" s="146"/>
      <c r="AH27" s="147"/>
      <c r="AI27" s="146"/>
      <c r="AJ27" s="145" t="str">
        <f t="shared" si="2"/>
        <v/>
      </c>
      <c r="AK27" s="145" t="str">
        <f t="shared" si="3"/>
        <v/>
      </c>
    </row>
    <row r="28" spans="2:37" ht="21" x14ac:dyDescent="0.35">
      <c r="B28" s="146"/>
      <c r="C28" s="146"/>
      <c r="D28" s="146"/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7" t="str">
        <f t="shared" si="0"/>
        <v/>
      </c>
      <c r="AE28" s="147" t="str">
        <f t="shared" si="1"/>
        <v/>
      </c>
      <c r="AF28" s="147"/>
      <c r="AG28" s="146"/>
      <c r="AH28" s="147"/>
      <c r="AI28" s="146"/>
      <c r="AJ28" s="145" t="str">
        <f t="shared" si="2"/>
        <v/>
      </c>
      <c r="AK28" s="145" t="str">
        <f t="shared" si="3"/>
        <v/>
      </c>
    </row>
    <row r="29" spans="2:37" ht="21" x14ac:dyDescent="0.35">
      <c r="B29" s="146"/>
      <c r="C29" s="146"/>
      <c r="D29" s="146"/>
      <c r="E29" s="146"/>
      <c r="F29" s="146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7" t="str">
        <f t="shared" si="0"/>
        <v/>
      </c>
      <c r="AE29" s="147" t="str">
        <f t="shared" si="1"/>
        <v/>
      </c>
      <c r="AF29" s="147"/>
      <c r="AG29" s="146"/>
      <c r="AH29" s="147"/>
      <c r="AI29" s="146"/>
      <c r="AJ29" s="145" t="str">
        <f t="shared" si="2"/>
        <v/>
      </c>
      <c r="AK29" s="145" t="str">
        <f t="shared" si="3"/>
        <v/>
      </c>
    </row>
    <row r="30" spans="2:37" ht="21" x14ac:dyDescent="0.35">
      <c r="B30" s="146"/>
      <c r="C30" s="146"/>
      <c r="D30" s="146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7" t="str">
        <f t="shared" si="0"/>
        <v/>
      </c>
      <c r="AE30" s="147" t="str">
        <f t="shared" si="1"/>
        <v/>
      </c>
      <c r="AF30" s="147"/>
      <c r="AG30" s="146"/>
      <c r="AH30" s="147"/>
      <c r="AI30" s="146"/>
      <c r="AJ30" s="145" t="str">
        <f t="shared" si="2"/>
        <v/>
      </c>
      <c r="AK30" s="145" t="str">
        <f t="shared" si="3"/>
        <v/>
      </c>
    </row>
    <row r="31" spans="2:37" ht="21" x14ac:dyDescent="0.35">
      <c r="B31" s="146"/>
      <c r="C31" s="146"/>
      <c r="D31" s="146"/>
      <c r="E31" s="146"/>
      <c r="F31" s="146"/>
      <c r="G31" s="146"/>
      <c r="H31" s="146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7" t="str">
        <f t="shared" si="0"/>
        <v/>
      </c>
      <c r="AE31" s="147" t="str">
        <f t="shared" si="1"/>
        <v/>
      </c>
      <c r="AF31" s="147"/>
      <c r="AG31" s="146"/>
      <c r="AH31" s="147"/>
      <c r="AI31" s="146"/>
      <c r="AJ31" s="145" t="str">
        <f t="shared" si="2"/>
        <v/>
      </c>
      <c r="AK31" s="145" t="str">
        <f t="shared" si="3"/>
        <v/>
      </c>
    </row>
    <row r="32" spans="2:37" ht="21" x14ac:dyDescent="0.35">
      <c r="B32" s="146"/>
      <c r="C32" s="146"/>
      <c r="D32" s="146"/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7" t="str">
        <f t="shared" si="0"/>
        <v/>
      </c>
      <c r="AE32" s="147" t="str">
        <f t="shared" si="1"/>
        <v/>
      </c>
      <c r="AF32" s="147"/>
      <c r="AG32" s="146"/>
      <c r="AH32" s="147"/>
      <c r="AI32" s="146"/>
      <c r="AJ32" s="145" t="str">
        <f t="shared" si="2"/>
        <v/>
      </c>
      <c r="AK32" s="145" t="str">
        <f t="shared" si="3"/>
        <v/>
      </c>
    </row>
    <row r="33" spans="2:37" ht="21" x14ac:dyDescent="0.35">
      <c r="B33" s="146"/>
      <c r="C33" s="146"/>
      <c r="D33" s="146"/>
      <c r="E33" s="146"/>
      <c r="F33" s="146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7" t="str">
        <f t="shared" si="0"/>
        <v/>
      </c>
      <c r="AE33" s="147" t="str">
        <f t="shared" si="1"/>
        <v/>
      </c>
      <c r="AF33" s="147"/>
      <c r="AG33" s="146"/>
      <c r="AH33" s="147"/>
      <c r="AI33" s="146"/>
      <c r="AJ33" s="145" t="str">
        <f t="shared" si="2"/>
        <v/>
      </c>
      <c r="AK33" s="145" t="str">
        <f t="shared" si="3"/>
        <v/>
      </c>
    </row>
    <row r="34" spans="2:37" ht="21" x14ac:dyDescent="0.35">
      <c r="B34" s="146"/>
      <c r="C34" s="146"/>
      <c r="D34" s="146"/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7" t="str">
        <f t="shared" si="0"/>
        <v/>
      </c>
      <c r="AE34" s="147" t="str">
        <f t="shared" si="1"/>
        <v/>
      </c>
      <c r="AF34" s="147"/>
      <c r="AG34" s="146"/>
      <c r="AH34" s="147"/>
      <c r="AI34" s="146"/>
      <c r="AJ34" s="145" t="str">
        <f t="shared" si="2"/>
        <v/>
      </c>
      <c r="AK34" s="145" t="str">
        <f t="shared" si="3"/>
        <v/>
      </c>
    </row>
    <row r="35" spans="2:37" ht="21" x14ac:dyDescent="0.35">
      <c r="B35" s="146"/>
      <c r="C35" s="146"/>
      <c r="D35" s="146"/>
      <c r="E35" s="146"/>
      <c r="F35" s="146"/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7" t="str">
        <f t="shared" si="0"/>
        <v/>
      </c>
      <c r="AE35" s="147" t="str">
        <f t="shared" si="1"/>
        <v/>
      </c>
      <c r="AF35" s="147"/>
      <c r="AG35" s="146"/>
      <c r="AH35" s="147"/>
      <c r="AI35" s="146"/>
      <c r="AJ35" s="145" t="str">
        <f t="shared" si="2"/>
        <v/>
      </c>
      <c r="AK35" s="145" t="str">
        <f t="shared" si="3"/>
        <v/>
      </c>
    </row>
    <row r="36" spans="2:37" ht="21" x14ac:dyDescent="0.35">
      <c r="B36" s="146"/>
      <c r="C36" s="146"/>
      <c r="D36" s="146"/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7" t="str">
        <f t="shared" si="0"/>
        <v/>
      </c>
      <c r="AE36" s="147" t="str">
        <f t="shared" si="1"/>
        <v/>
      </c>
      <c r="AF36" s="147"/>
      <c r="AG36" s="146"/>
      <c r="AH36" s="147"/>
      <c r="AI36" s="146"/>
      <c r="AJ36" s="145" t="str">
        <f t="shared" si="2"/>
        <v/>
      </c>
      <c r="AK36" s="145" t="str">
        <f t="shared" si="3"/>
        <v/>
      </c>
    </row>
    <row r="37" spans="2:37" ht="21" x14ac:dyDescent="0.35">
      <c r="B37" s="146"/>
      <c r="C37" s="146"/>
      <c r="D37" s="146"/>
      <c r="E37" s="146"/>
      <c r="F37" s="146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7" t="str">
        <f t="shared" si="0"/>
        <v/>
      </c>
      <c r="AE37" s="147" t="str">
        <f t="shared" si="1"/>
        <v/>
      </c>
      <c r="AF37" s="147"/>
      <c r="AG37" s="146"/>
      <c r="AH37" s="147"/>
      <c r="AI37" s="146"/>
      <c r="AJ37" s="145" t="str">
        <f t="shared" si="2"/>
        <v/>
      </c>
      <c r="AK37" s="145" t="str">
        <f t="shared" si="3"/>
        <v/>
      </c>
    </row>
    <row r="38" spans="2:37" ht="21" x14ac:dyDescent="0.35">
      <c r="B38" s="146"/>
      <c r="C38" s="146"/>
      <c r="D38" s="146"/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7" t="str">
        <f t="shared" si="0"/>
        <v/>
      </c>
      <c r="AE38" s="147" t="str">
        <f t="shared" si="1"/>
        <v/>
      </c>
      <c r="AF38" s="147"/>
      <c r="AG38" s="146"/>
      <c r="AH38" s="147"/>
      <c r="AI38" s="146"/>
      <c r="AJ38" s="145" t="str">
        <f t="shared" si="2"/>
        <v/>
      </c>
      <c r="AK38" s="145" t="str">
        <f t="shared" si="3"/>
        <v/>
      </c>
    </row>
    <row r="39" spans="2:37" ht="21" x14ac:dyDescent="0.35">
      <c r="B39" s="146"/>
      <c r="C39" s="146"/>
      <c r="D39" s="146"/>
      <c r="E39" s="146"/>
      <c r="F39" s="146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7" t="str">
        <f t="shared" si="0"/>
        <v/>
      </c>
      <c r="AE39" s="147" t="str">
        <f t="shared" si="1"/>
        <v/>
      </c>
      <c r="AF39" s="147"/>
      <c r="AG39" s="146"/>
      <c r="AH39" s="147"/>
      <c r="AI39" s="146"/>
      <c r="AJ39" s="145" t="str">
        <f t="shared" si="2"/>
        <v/>
      </c>
      <c r="AK39" s="145" t="str">
        <f t="shared" si="3"/>
        <v/>
      </c>
    </row>
    <row r="40" spans="2:37" ht="21" x14ac:dyDescent="0.35">
      <c r="B40" s="146"/>
      <c r="C40" s="146"/>
      <c r="D40" s="146"/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7" t="str">
        <f t="shared" si="0"/>
        <v/>
      </c>
      <c r="AE40" s="147" t="str">
        <f t="shared" si="1"/>
        <v/>
      </c>
      <c r="AF40" s="147"/>
      <c r="AG40" s="146"/>
      <c r="AH40" s="147"/>
      <c r="AI40" s="146"/>
      <c r="AJ40" s="145" t="str">
        <f t="shared" si="2"/>
        <v/>
      </c>
      <c r="AK40" s="145" t="str">
        <f t="shared" si="3"/>
        <v/>
      </c>
    </row>
    <row r="41" spans="2:37" ht="21" x14ac:dyDescent="0.35">
      <c r="B41" s="146"/>
      <c r="C41" s="146"/>
      <c r="D41" s="146"/>
      <c r="E41" s="146"/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7" t="str">
        <f t="shared" si="0"/>
        <v/>
      </c>
      <c r="AE41" s="147" t="str">
        <f t="shared" si="1"/>
        <v/>
      </c>
      <c r="AF41" s="147"/>
      <c r="AG41" s="146"/>
      <c r="AH41" s="147"/>
      <c r="AI41" s="146"/>
      <c r="AJ41" s="145" t="str">
        <f t="shared" si="2"/>
        <v/>
      </c>
      <c r="AK41" s="145" t="str">
        <f t="shared" si="3"/>
        <v/>
      </c>
    </row>
    <row r="42" spans="2:37" ht="21" x14ac:dyDescent="0.35">
      <c r="B42" s="146"/>
      <c r="C42" s="146"/>
      <c r="D42" s="146"/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7" t="str">
        <f t="shared" si="0"/>
        <v/>
      </c>
      <c r="AE42" s="147" t="str">
        <f t="shared" si="1"/>
        <v/>
      </c>
      <c r="AF42" s="147"/>
      <c r="AG42" s="146"/>
      <c r="AH42" s="147"/>
      <c r="AI42" s="146"/>
      <c r="AJ42" s="145" t="str">
        <f t="shared" si="2"/>
        <v/>
      </c>
      <c r="AK42" s="145" t="str">
        <f t="shared" si="3"/>
        <v/>
      </c>
    </row>
    <row r="43" spans="2:37" ht="21" x14ac:dyDescent="0.35">
      <c r="B43" s="146"/>
      <c r="C43" s="146"/>
      <c r="D43" s="146"/>
      <c r="E43" s="146"/>
      <c r="F43" s="146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7" t="str">
        <f t="shared" ref="AD43:AD67" si="4">IF(MIN(F43,J43,N43,R43,V43,Z43)&lt;&gt;0,MIN(F43,J43,N43,R43,V43,Z43),"")</f>
        <v/>
      </c>
      <c r="AE43" s="147" t="str">
        <f t="shared" ref="AE43:AE67" si="5">IF(MIN(H43,L43,P43,T43,X43,AB43)&lt;&gt;0,MIN(H43,L43,P43,T43,X43,AB43),"")</f>
        <v/>
      </c>
      <c r="AF43" s="147"/>
      <c r="AG43" s="146"/>
      <c r="AH43" s="147"/>
      <c r="AI43" s="146"/>
      <c r="AJ43" s="145" t="str">
        <f t="shared" ref="AJ43:AJ67" si="6">IF(AD43="","",IF(ISBLANK(AF43),"En cours",AD43+AF43))</f>
        <v/>
      </c>
      <c r="AK43" s="145" t="str">
        <f t="shared" ref="AK43:AK67" si="7">IF(AE43="","",IF(ISBLANK(AH43),"En cours",AE43+AH43))</f>
        <v/>
      </c>
    </row>
    <row r="44" spans="2:37" ht="21" x14ac:dyDescent="0.35">
      <c r="B44" s="146"/>
      <c r="C44" s="146"/>
      <c r="D44" s="146"/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7" t="str">
        <f t="shared" si="4"/>
        <v/>
      </c>
      <c r="AE44" s="147" t="str">
        <f t="shared" si="5"/>
        <v/>
      </c>
      <c r="AF44" s="147"/>
      <c r="AG44" s="146"/>
      <c r="AH44" s="147"/>
      <c r="AI44" s="146"/>
      <c r="AJ44" s="145" t="str">
        <f t="shared" si="6"/>
        <v/>
      </c>
      <c r="AK44" s="145" t="str">
        <f t="shared" si="7"/>
        <v/>
      </c>
    </row>
    <row r="45" spans="2:37" ht="21" x14ac:dyDescent="0.35"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7" t="str">
        <f t="shared" si="4"/>
        <v/>
      </c>
      <c r="AE45" s="147" t="str">
        <f t="shared" si="5"/>
        <v/>
      </c>
      <c r="AF45" s="147"/>
      <c r="AG45" s="146"/>
      <c r="AH45" s="147"/>
      <c r="AI45" s="146"/>
      <c r="AJ45" s="145" t="str">
        <f t="shared" si="6"/>
        <v/>
      </c>
      <c r="AK45" s="145" t="str">
        <f t="shared" si="7"/>
        <v/>
      </c>
    </row>
    <row r="46" spans="2:37" ht="21" x14ac:dyDescent="0.35"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7" t="str">
        <f t="shared" si="4"/>
        <v/>
      </c>
      <c r="AE46" s="147" t="str">
        <f t="shared" si="5"/>
        <v/>
      </c>
      <c r="AF46" s="147"/>
      <c r="AG46" s="146"/>
      <c r="AH46" s="147"/>
      <c r="AI46" s="146"/>
      <c r="AJ46" s="145" t="str">
        <f t="shared" si="6"/>
        <v/>
      </c>
      <c r="AK46" s="145" t="str">
        <f t="shared" si="7"/>
        <v/>
      </c>
    </row>
    <row r="47" spans="2:37" ht="21" x14ac:dyDescent="0.35"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7" t="str">
        <f t="shared" si="4"/>
        <v/>
      </c>
      <c r="AE47" s="147" t="str">
        <f t="shared" si="5"/>
        <v/>
      </c>
      <c r="AF47" s="147"/>
      <c r="AG47" s="146"/>
      <c r="AH47" s="147"/>
      <c r="AI47" s="146"/>
      <c r="AJ47" s="145" t="str">
        <f t="shared" si="6"/>
        <v/>
      </c>
      <c r="AK47" s="145" t="str">
        <f t="shared" si="7"/>
        <v/>
      </c>
    </row>
    <row r="48" spans="2:37" ht="21" x14ac:dyDescent="0.35">
      <c r="B48" s="146"/>
      <c r="C48" s="146"/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7" t="str">
        <f t="shared" si="4"/>
        <v/>
      </c>
      <c r="AE48" s="147" t="str">
        <f t="shared" si="5"/>
        <v/>
      </c>
      <c r="AF48" s="147"/>
      <c r="AG48" s="146"/>
      <c r="AH48" s="147"/>
      <c r="AI48" s="146"/>
      <c r="AJ48" s="145" t="str">
        <f t="shared" si="6"/>
        <v/>
      </c>
      <c r="AK48" s="145" t="str">
        <f t="shared" si="7"/>
        <v/>
      </c>
    </row>
    <row r="49" spans="2:37" ht="21" x14ac:dyDescent="0.35">
      <c r="B49" s="146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7" t="str">
        <f t="shared" si="4"/>
        <v/>
      </c>
      <c r="AE49" s="147" t="str">
        <f t="shared" si="5"/>
        <v/>
      </c>
      <c r="AF49" s="147"/>
      <c r="AG49" s="146"/>
      <c r="AH49" s="147"/>
      <c r="AI49" s="146"/>
      <c r="AJ49" s="145" t="str">
        <f t="shared" si="6"/>
        <v/>
      </c>
      <c r="AK49" s="145" t="str">
        <f t="shared" si="7"/>
        <v/>
      </c>
    </row>
    <row r="50" spans="2:37" ht="21" x14ac:dyDescent="0.35">
      <c r="B50" s="146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7" t="str">
        <f t="shared" si="4"/>
        <v/>
      </c>
      <c r="AE50" s="147" t="str">
        <f t="shared" si="5"/>
        <v/>
      </c>
      <c r="AF50" s="147"/>
      <c r="AG50" s="146"/>
      <c r="AH50" s="147"/>
      <c r="AI50" s="146"/>
      <c r="AJ50" s="145" t="str">
        <f t="shared" si="6"/>
        <v/>
      </c>
      <c r="AK50" s="145" t="str">
        <f t="shared" si="7"/>
        <v/>
      </c>
    </row>
    <row r="51" spans="2:37" ht="21" x14ac:dyDescent="0.35">
      <c r="B51" s="146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7" t="str">
        <f t="shared" si="4"/>
        <v/>
      </c>
      <c r="AE51" s="147" t="str">
        <f t="shared" si="5"/>
        <v/>
      </c>
      <c r="AF51" s="147"/>
      <c r="AG51" s="146"/>
      <c r="AH51" s="147"/>
      <c r="AI51" s="146"/>
      <c r="AJ51" s="145" t="str">
        <f t="shared" si="6"/>
        <v/>
      </c>
      <c r="AK51" s="145" t="str">
        <f t="shared" si="7"/>
        <v/>
      </c>
    </row>
    <row r="52" spans="2:37" ht="21" x14ac:dyDescent="0.35"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  <c r="AD52" s="147" t="str">
        <f t="shared" si="4"/>
        <v/>
      </c>
      <c r="AE52" s="147" t="str">
        <f t="shared" si="5"/>
        <v/>
      </c>
      <c r="AF52" s="147"/>
      <c r="AG52" s="146"/>
      <c r="AH52" s="147"/>
      <c r="AI52" s="146"/>
      <c r="AJ52" s="145" t="str">
        <f t="shared" si="6"/>
        <v/>
      </c>
      <c r="AK52" s="145" t="str">
        <f t="shared" si="7"/>
        <v/>
      </c>
    </row>
    <row r="53" spans="2:37" ht="21" x14ac:dyDescent="0.35"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7" t="str">
        <f t="shared" si="4"/>
        <v/>
      </c>
      <c r="AE53" s="147" t="str">
        <f t="shared" si="5"/>
        <v/>
      </c>
      <c r="AF53" s="147"/>
      <c r="AG53" s="146"/>
      <c r="AH53" s="147"/>
      <c r="AI53" s="146"/>
      <c r="AJ53" s="145" t="str">
        <f t="shared" si="6"/>
        <v/>
      </c>
      <c r="AK53" s="145" t="str">
        <f t="shared" si="7"/>
        <v/>
      </c>
    </row>
    <row r="54" spans="2:37" ht="21" x14ac:dyDescent="0.35"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7" t="str">
        <f t="shared" si="4"/>
        <v/>
      </c>
      <c r="AE54" s="147" t="str">
        <f t="shared" si="5"/>
        <v/>
      </c>
      <c r="AF54" s="147"/>
      <c r="AG54" s="146"/>
      <c r="AH54" s="147"/>
      <c r="AI54" s="146"/>
      <c r="AJ54" s="145" t="str">
        <f t="shared" si="6"/>
        <v/>
      </c>
      <c r="AK54" s="145" t="str">
        <f t="shared" si="7"/>
        <v/>
      </c>
    </row>
    <row r="55" spans="2:37" ht="21" x14ac:dyDescent="0.35">
      <c r="B55" s="146"/>
      <c r="C55" s="146"/>
      <c r="D55" s="146"/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7" t="str">
        <f t="shared" si="4"/>
        <v/>
      </c>
      <c r="AE55" s="147" t="str">
        <f t="shared" si="5"/>
        <v/>
      </c>
      <c r="AF55" s="147"/>
      <c r="AG55" s="146"/>
      <c r="AH55" s="147"/>
      <c r="AI55" s="146"/>
      <c r="AJ55" s="145" t="str">
        <f t="shared" si="6"/>
        <v/>
      </c>
      <c r="AK55" s="145" t="str">
        <f t="shared" si="7"/>
        <v/>
      </c>
    </row>
    <row r="56" spans="2:37" ht="21" x14ac:dyDescent="0.35">
      <c r="B56" s="146"/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7" t="str">
        <f t="shared" si="4"/>
        <v/>
      </c>
      <c r="AE56" s="147" t="str">
        <f t="shared" si="5"/>
        <v/>
      </c>
      <c r="AF56" s="147"/>
      <c r="AG56" s="146"/>
      <c r="AH56" s="147"/>
      <c r="AI56" s="146"/>
      <c r="AJ56" s="145" t="str">
        <f t="shared" si="6"/>
        <v/>
      </c>
      <c r="AK56" s="145" t="str">
        <f t="shared" si="7"/>
        <v/>
      </c>
    </row>
    <row r="57" spans="2:37" ht="21" x14ac:dyDescent="0.35">
      <c r="B57" s="146"/>
      <c r="C57" s="146"/>
      <c r="D57" s="146"/>
      <c r="E57" s="146"/>
      <c r="F57" s="146"/>
      <c r="G57" s="146"/>
      <c r="H57" s="146"/>
      <c r="I57" s="146"/>
      <c r="J57" s="146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7" t="str">
        <f t="shared" si="4"/>
        <v/>
      </c>
      <c r="AE57" s="147" t="str">
        <f t="shared" si="5"/>
        <v/>
      </c>
      <c r="AF57" s="147"/>
      <c r="AG57" s="146"/>
      <c r="AH57" s="147"/>
      <c r="AI57" s="146"/>
      <c r="AJ57" s="145" t="str">
        <f t="shared" si="6"/>
        <v/>
      </c>
      <c r="AK57" s="145" t="str">
        <f t="shared" si="7"/>
        <v/>
      </c>
    </row>
    <row r="58" spans="2:37" ht="21" x14ac:dyDescent="0.35">
      <c r="B58" s="146"/>
      <c r="C58" s="146"/>
      <c r="D58" s="146"/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7" t="str">
        <f t="shared" si="4"/>
        <v/>
      </c>
      <c r="AE58" s="147" t="str">
        <f t="shared" si="5"/>
        <v/>
      </c>
      <c r="AF58" s="147"/>
      <c r="AG58" s="146"/>
      <c r="AH58" s="147"/>
      <c r="AI58" s="146"/>
      <c r="AJ58" s="145" t="str">
        <f t="shared" si="6"/>
        <v/>
      </c>
      <c r="AK58" s="145" t="str">
        <f t="shared" si="7"/>
        <v/>
      </c>
    </row>
    <row r="59" spans="2:37" ht="21" x14ac:dyDescent="0.35">
      <c r="B59" s="146"/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7" t="str">
        <f t="shared" si="4"/>
        <v/>
      </c>
      <c r="AE59" s="147" t="str">
        <f t="shared" si="5"/>
        <v/>
      </c>
      <c r="AF59" s="147"/>
      <c r="AG59" s="146"/>
      <c r="AH59" s="147"/>
      <c r="AI59" s="146"/>
      <c r="AJ59" s="145" t="str">
        <f t="shared" si="6"/>
        <v/>
      </c>
      <c r="AK59" s="145" t="str">
        <f t="shared" si="7"/>
        <v/>
      </c>
    </row>
    <row r="60" spans="2:37" ht="21" x14ac:dyDescent="0.35">
      <c r="B60" s="146"/>
      <c r="C60" s="146"/>
      <c r="D60" s="146"/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  <c r="AD60" s="147" t="str">
        <f t="shared" si="4"/>
        <v/>
      </c>
      <c r="AE60" s="147" t="str">
        <f t="shared" si="5"/>
        <v/>
      </c>
      <c r="AF60" s="147"/>
      <c r="AG60" s="146"/>
      <c r="AH60" s="147"/>
      <c r="AI60" s="146"/>
      <c r="AJ60" s="145" t="str">
        <f t="shared" si="6"/>
        <v/>
      </c>
      <c r="AK60" s="145" t="str">
        <f t="shared" si="7"/>
        <v/>
      </c>
    </row>
    <row r="61" spans="2:37" ht="21" x14ac:dyDescent="0.35">
      <c r="B61" s="146"/>
      <c r="C61" s="146"/>
      <c r="D61" s="146"/>
      <c r="E61" s="146"/>
      <c r="F61" s="146"/>
      <c r="G61" s="146"/>
      <c r="H61" s="146"/>
      <c r="I61" s="146"/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7" t="str">
        <f t="shared" si="4"/>
        <v/>
      </c>
      <c r="AE61" s="147" t="str">
        <f t="shared" si="5"/>
        <v/>
      </c>
      <c r="AF61" s="147"/>
      <c r="AG61" s="146"/>
      <c r="AH61" s="147"/>
      <c r="AI61" s="146"/>
      <c r="AJ61" s="145" t="str">
        <f t="shared" si="6"/>
        <v/>
      </c>
      <c r="AK61" s="145" t="str">
        <f t="shared" si="7"/>
        <v/>
      </c>
    </row>
    <row r="62" spans="2:37" ht="21" x14ac:dyDescent="0.35">
      <c r="B62" s="146"/>
      <c r="C62" s="146"/>
      <c r="D62" s="146"/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7" t="str">
        <f t="shared" si="4"/>
        <v/>
      </c>
      <c r="AE62" s="147" t="str">
        <f t="shared" si="5"/>
        <v/>
      </c>
      <c r="AF62" s="147"/>
      <c r="AG62" s="146"/>
      <c r="AH62" s="147"/>
      <c r="AI62" s="146"/>
      <c r="AJ62" s="145" t="str">
        <f t="shared" si="6"/>
        <v/>
      </c>
      <c r="AK62" s="145" t="str">
        <f t="shared" si="7"/>
        <v/>
      </c>
    </row>
    <row r="63" spans="2:37" ht="21" x14ac:dyDescent="0.35"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7" t="str">
        <f t="shared" si="4"/>
        <v/>
      </c>
      <c r="AE63" s="147" t="str">
        <f t="shared" si="5"/>
        <v/>
      </c>
      <c r="AF63" s="147"/>
      <c r="AG63" s="146"/>
      <c r="AH63" s="147"/>
      <c r="AI63" s="146"/>
      <c r="AJ63" s="145" t="str">
        <f t="shared" si="6"/>
        <v/>
      </c>
      <c r="AK63" s="145" t="str">
        <f t="shared" si="7"/>
        <v/>
      </c>
    </row>
    <row r="64" spans="2:37" ht="21" x14ac:dyDescent="0.35"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7" t="str">
        <f t="shared" si="4"/>
        <v/>
      </c>
      <c r="AE64" s="147" t="str">
        <f t="shared" si="5"/>
        <v/>
      </c>
      <c r="AF64" s="147"/>
      <c r="AG64" s="146"/>
      <c r="AH64" s="147"/>
      <c r="AI64" s="146"/>
      <c r="AJ64" s="145" t="str">
        <f t="shared" si="6"/>
        <v/>
      </c>
      <c r="AK64" s="145" t="str">
        <f t="shared" si="7"/>
        <v/>
      </c>
    </row>
    <row r="65" spans="2:37" ht="21" x14ac:dyDescent="0.35">
      <c r="B65" s="146"/>
      <c r="C65" s="146"/>
      <c r="D65" s="146"/>
      <c r="E65" s="146"/>
      <c r="F65" s="146"/>
      <c r="G65" s="146"/>
      <c r="H65" s="146"/>
      <c r="I65" s="146"/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7" t="str">
        <f t="shared" si="4"/>
        <v/>
      </c>
      <c r="AE65" s="147" t="str">
        <f t="shared" si="5"/>
        <v/>
      </c>
      <c r="AF65" s="147"/>
      <c r="AG65" s="146"/>
      <c r="AH65" s="147"/>
      <c r="AI65" s="146"/>
      <c r="AJ65" s="145" t="str">
        <f t="shared" si="6"/>
        <v/>
      </c>
      <c r="AK65" s="145" t="str">
        <f t="shared" si="7"/>
        <v/>
      </c>
    </row>
    <row r="66" spans="2:37" ht="21" x14ac:dyDescent="0.35">
      <c r="B66" s="146"/>
      <c r="C66" s="146"/>
      <c r="D66" s="146"/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  <c r="AD66" s="147" t="str">
        <f t="shared" si="4"/>
        <v/>
      </c>
      <c r="AE66" s="147" t="str">
        <f t="shared" si="5"/>
        <v/>
      </c>
      <c r="AF66" s="147"/>
      <c r="AG66" s="146"/>
      <c r="AH66" s="147"/>
      <c r="AI66" s="146"/>
      <c r="AJ66" s="145" t="str">
        <f t="shared" si="6"/>
        <v/>
      </c>
      <c r="AK66" s="145" t="str">
        <f t="shared" si="7"/>
        <v/>
      </c>
    </row>
    <row r="67" spans="2:37" ht="21" x14ac:dyDescent="0.35">
      <c r="B67" s="146"/>
      <c r="C67" s="146"/>
      <c r="D67" s="146"/>
      <c r="E67" s="146"/>
      <c r="F67" s="146"/>
      <c r="G67" s="146"/>
      <c r="H67" s="146"/>
      <c r="I67" s="146"/>
      <c r="J67" s="146"/>
      <c r="K67" s="146"/>
      <c r="L67" s="146"/>
      <c r="M67" s="146"/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7" t="str">
        <f t="shared" si="4"/>
        <v/>
      </c>
      <c r="AE67" s="147" t="str">
        <f t="shared" si="5"/>
        <v/>
      </c>
      <c r="AF67" s="147"/>
      <c r="AG67" s="146"/>
      <c r="AH67" s="147"/>
      <c r="AI67" s="146"/>
      <c r="AJ67" s="145" t="str">
        <f t="shared" si="6"/>
        <v/>
      </c>
      <c r="AK67" s="145" t="str">
        <f t="shared" si="7"/>
        <v/>
      </c>
    </row>
    <row r="68" spans="2:37" ht="21" x14ac:dyDescent="0.35">
      <c r="B68" s="146"/>
      <c r="C68" s="146"/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146"/>
      <c r="AC68" s="146"/>
      <c r="AD68" s="147" t="str">
        <f t="shared" ref="AD68:AD131" si="8">IF(MIN(F68,J68,N68,R68,V68,Z68)&lt;&gt;0,MIN(F68,J68,N68,R68,V68,Z68),"")</f>
        <v/>
      </c>
      <c r="AE68" s="147" t="str">
        <f t="shared" ref="AE68:AE131" si="9">IF(MIN(H68,L68,P68,T68,X68,AB68)&lt;&gt;0,MIN(H68,L68,P68,T68,X68,AB68),"")</f>
        <v/>
      </c>
      <c r="AF68" s="147"/>
      <c r="AG68" s="146"/>
      <c r="AH68" s="147"/>
      <c r="AI68" s="146"/>
      <c r="AJ68" s="145" t="str">
        <f t="shared" ref="AJ68:AJ131" si="10">IF(AD68="","",IF(ISBLANK(AF68),"En cours",AD68+AF68))</f>
        <v/>
      </c>
      <c r="AK68" s="145" t="str">
        <f t="shared" ref="AK68:AK131" si="11">IF(AE68="","",IF(ISBLANK(AH68),"En cours",AE68+AH68))</f>
        <v/>
      </c>
    </row>
    <row r="69" spans="2:37" ht="21" x14ac:dyDescent="0.35">
      <c r="B69" s="146"/>
      <c r="C69" s="146"/>
      <c r="D69" s="146"/>
      <c r="E69" s="146"/>
      <c r="F69" s="146"/>
      <c r="G69" s="146"/>
      <c r="H69" s="146"/>
      <c r="I69" s="146"/>
      <c r="J69" s="146"/>
      <c r="K69" s="146"/>
      <c r="L69" s="146"/>
      <c r="M69" s="146"/>
      <c r="N69" s="146"/>
      <c r="O69" s="146"/>
      <c r="P69" s="146"/>
      <c r="Q69" s="146"/>
      <c r="R69" s="146"/>
      <c r="S69" s="146"/>
      <c r="T69" s="146"/>
      <c r="U69" s="146"/>
      <c r="V69" s="146"/>
      <c r="W69" s="146"/>
      <c r="X69" s="146"/>
      <c r="Y69" s="146"/>
      <c r="Z69" s="146"/>
      <c r="AA69" s="146"/>
      <c r="AB69" s="146"/>
      <c r="AC69" s="146"/>
      <c r="AD69" s="147" t="str">
        <f t="shared" si="8"/>
        <v/>
      </c>
      <c r="AE69" s="147" t="str">
        <f t="shared" si="9"/>
        <v/>
      </c>
      <c r="AF69" s="147"/>
      <c r="AG69" s="146"/>
      <c r="AH69" s="147"/>
      <c r="AI69" s="146"/>
      <c r="AJ69" s="145" t="str">
        <f t="shared" si="10"/>
        <v/>
      </c>
      <c r="AK69" s="145" t="str">
        <f t="shared" si="11"/>
        <v/>
      </c>
    </row>
    <row r="70" spans="2:37" ht="21" x14ac:dyDescent="0.35">
      <c r="B70" s="146"/>
      <c r="C70" s="146"/>
      <c r="D70" s="146"/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146"/>
      <c r="W70" s="146"/>
      <c r="X70" s="146"/>
      <c r="Y70" s="146"/>
      <c r="Z70" s="146"/>
      <c r="AA70" s="146"/>
      <c r="AB70" s="146"/>
      <c r="AC70" s="146"/>
      <c r="AD70" s="147" t="str">
        <f t="shared" si="8"/>
        <v/>
      </c>
      <c r="AE70" s="147" t="str">
        <f t="shared" si="9"/>
        <v/>
      </c>
      <c r="AF70" s="147"/>
      <c r="AG70" s="146"/>
      <c r="AH70" s="147"/>
      <c r="AI70" s="146"/>
      <c r="AJ70" s="145" t="str">
        <f t="shared" si="10"/>
        <v/>
      </c>
      <c r="AK70" s="145" t="str">
        <f t="shared" si="11"/>
        <v/>
      </c>
    </row>
    <row r="71" spans="2:37" ht="21" x14ac:dyDescent="0.35">
      <c r="B71" s="146"/>
      <c r="C71" s="146"/>
      <c r="D71" s="146"/>
      <c r="E71" s="146"/>
      <c r="F71" s="146"/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46"/>
      <c r="AA71" s="146"/>
      <c r="AB71" s="146"/>
      <c r="AC71" s="146"/>
      <c r="AD71" s="147" t="str">
        <f t="shared" si="8"/>
        <v/>
      </c>
      <c r="AE71" s="147" t="str">
        <f t="shared" si="9"/>
        <v/>
      </c>
      <c r="AF71" s="147"/>
      <c r="AG71" s="146"/>
      <c r="AH71" s="147"/>
      <c r="AI71" s="146"/>
      <c r="AJ71" s="145" t="str">
        <f t="shared" si="10"/>
        <v/>
      </c>
      <c r="AK71" s="145" t="str">
        <f t="shared" si="11"/>
        <v/>
      </c>
    </row>
    <row r="72" spans="2:37" ht="21" x14ac:dyDescent="0.35">
      <c r="B72" s="146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46"/>
      <c r="AA72" s="146"/>
      <c r="AB72" s="146"/>
      <c r="AC72" s="146"/>
      <c r="AD72" s="147" t="str">
        <f t="shared" si="8"/>
        <v/>
      </c>
      <c r="AE72" s="147" t="str">
        <f t="shared" si="9"/>
        <v/>
      </c>
      <c r="AF72" s="147"/>
      <c r="AG72" s="146"/>
      <c r="AH72" s="147"/>
      <c r="AI72" s="146"/>
      <c r="AJ72" s="145" t="str">
        <f t="shared" si="10"/>
        <v/>
      </c>
      <c r="AK72" s="145" t="str">
        <f t="shared" si="11"/>
        <v/>
      </c>
    </row>
    <row r="73" spans="2:37" ht="21" x14ac:dyDescent="0.35">
      <c r="B73" s="146"/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  <c r="AD73" s="147" t="str">
        <f t="shared" si="8"/>
        <v/>
      </c>
      <c r="AE73" s="147" t="str">
        <f t="shared" si="9"/>
        <v/>
      </c>
      <c r="AF73" s="147"/>
      <c r="AG73" s="146"/>
      <c r="AH73" s="147"/>
      <c r="AI73" s="146"/>
      <c r="AJ73" s="145" t="str">
        <f t="shared" si="10"/>
        <v/>
      </c>
      <c r="AK73" s="145" t="str">
        <f t="shared" si="11"/>
        <v/>
      </c>
    </row>
    <row r="74" spans="2:37" ht="21" x14ac:dyDescent="0.35">
      <c r="B74" s="146"/>
      <c r="C74" s="146"/>
      <c r="D74" s="146"/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  <c r="AD74" s="147" t="str">
        <f t="shared" si="8"/>
        <v/>
      </c>
      <c r="AE74" s="147" t="str">
        <f t="shared" si="9"/>
        <v/>
      </c>
      <c r="AF74" s="147"/>
      <c r="AG74" s="146"/>
      <c r="AH74" s="147"/>
      <c r="AI74" s="146"/>
      <c r="AJ74" s="145" t="str">
        <f t="shared" si="10"/>
        <v/>
      </c>
      <c r="AK74" s="145" t="str">
        <f t="shared" si="11"/>
        <v/>
      </c>
    </row>
    <row r="75" spans="2:37" ht="21" x14ac:dyDescent="0.35">
      <c r="B75" s="146"/>
      <c r="C75" s="146"/>
      <c r="D75" s="146"/>
      <c r="E75" s="146"/>
      <c r="F75" s="146"/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7" t="str">
        <f t="shared" si="8"/>
        <v/>
      </c>
      <c r="AE75" s="147" t="str">
        <f t="shared" si="9"/>
        <v/>
      </c>
      <c r="AF75" s="147"/>
      <c r="AG75" s="146"/>
      <c r="AH75" s="147"/>
      <c r="AI75" s="146"/>
      <c r="AJ75" s="145" t="str">
        <f t="shared" si="10"/>
        <v/>
      </c>
      <c r="AK75" s="145" t="str">
        <f t="shared" si="11"/>
        <v/>
      </c>
    </row>
    <row r="76" spans="2:37" ht="21" x14ac:dyDescent="0.35">
      <c r="B76" s="146"/>
      <c r="C76" s="146"/>
      <c r="D76" s="146"/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7" t="str">
        <f t="shared" si="8"/>
        <v/>
      </c>
      <c r="AE76" s="147" t="str">
        <f t="shared" si="9"/>
        <v/>
      </c>
      <c r="AF76" s="147"/>
      <c r="AG76" s="146"/>
      <c r="AH76" s="147"/>
      <c r="AI76" s="146"/>
      <c r="AJ76" s="145" t="str">
        <f t="shared" si="10"/>
        <v/>
      </c>
      <c r="AK76" s="145" t="str">
        <f t="shared" si="11"/>
        <v/>
      </c>
    </row>
    <row r="77" spans="2:37" ht="21" x14ac:dyDescent="0.35">
      <c r="B77" s="146"/>
      <c r="C77" s="146"/>
      <c r="D77" s="146"/>
      <c r="E77" s="146"/>
      <c r="F77" s="146"/>
      <c r="G77" s="146"/>
      <c r="H77" s="146"/>
      <c r="I77" s="146"/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  <c r="AD77" s="147" t="str">
        <f t="shared" si="8"/>
        <v/>
      </c>
      <c r="AE77" s="147" t="str">
        <f t="shared" si="9"/>
        <v/>
      </c>
      <c r="AF77" s="147"/>
      <c r="AG77" s="146"/>
      <c r="AH77" s="147"/>
      <c r="AI77" s="146"/>
      <c r="AJ77" s="145" t="str">
        <f t="shared" si="10"/>
        <v/>
      </c>
      <c r="AK77" s="145" t="str">
        <f t="shared" si="11"/>
        <v/>
      </c>
    </row>
    <row r="78" spans="2:37" ht="21" x14ac:dyDescent="0.35">
      <c r="B78" s="146"/>
      <c r="C78" s="146"/>
      <c r="D78" s="146"/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7" t="str">
        <f t="shared" si="8"/>
        <v/>
      </c>
      <c r="AE78" s="147" t="str">
        <f t="shared" si="9"/>
        <v/>
      </c>
      <c r="AF78" s="147"/>
      <c r="AG78" s="146"/>
      <c r="AH78" s="147"/>
      <c r="AI78" s="146"/>
      <c r="AJ78" s="145" t="str">
        <f t="shared" si="10"/>
        <v/>
      </c>
      <c r="AK78" s="145" t="str">
        <f t="shared" si="11"/>
        <v/>
      </c>
    </row>
    <row r="79" spans="2:37" ht="21" x14ac:dyDescent="0.35">
      <c r="B79" s="146"/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7" t="str">
        <f t="shared" si="8"/>
        <v/>
      </c>
      <c r="AE79" s="147" t="str">
        <f t="shared" si="9"/>
        <v/>
      </c>
      <c r="AF79" s="147"/>
      <c r="AG79" s="146"/>
      <c r="AH79" s="147"/>
      <c r="AI79" s="146"/>
      <c r="AJ79" s="145" t="str">
        <f t="shared" si="10"/>
        <v/>
      </c>
      <c r="AK79" s="145" t="str">
        <f t="shared" si="11"/>
        <v/>
      </c>
    </row>
    <row r="80" spans="2:37" ht="21" x14ac:dyDescent="0.35">
      <c r="B80" s="146"/>
      <c r="C80" s="146"/>
      <c r="D80" s="146"/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7" t="str">
        <f t="shared" si="8"/>
        <v/>
      </c>
      <c r="AE80" s="147" t="str">
        <f t="shared" si="9"/>
        <v/>
      </c>
      <c r="AF80" s="147"/>
      <c r="AG80" s="146"/>
      <c r="AH80" s="147"/>
      <c r="AI80" s="146"/>
      <c r="AJ80" s="145" t="str">
        <f t="shared" si="10"/>
        <v/>
      </c>
      <c r="AK80" s="145" t="str">
        <f t="shared" si="11"/>
        <v/>
      </c>
    </row>
    <row r="81" spans="2:37" ht="21" x14ac:dyDescent="0.35"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  <c r="AD81" s="147" t="str">
        <f t="shared" si="8"/>
        <v/>
      </c>
      <c r="AE81" s="147" t="str">
        <f t="shared" si="9"/>
        <v/>
      </c>
      <c r="AF81" s="147"/>
      <c r="AG81" s="146"/>
      <c r="AH81" s="147"/>
      <c r="AI81" s="146"/>
      <c r="AJ81" s="145" t="str">
        <f t="shared" si="10"/>
        <v/>
      </c>
      <c r="AK81" s="145" t="str">
        <f t="shared" si="11"/>
        <v/>
      </c>
    </row>
    <row r="82" spans="2:37" ht="21" x14ac:dyDescent="0.35">
      <c r="B82" s="146"/>
      <c r="C82" s="146"/>
      <c r="D82" s="146"/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7" t="str">
        <f t="shared" si="8"/>
        <v/>
      </c>
      <c r="AE82" s="147" t="str">
        <f t="shared" si="9"/>
        <v/>
      </c>
      <c r="AF82" s="147"/>
      <c r="AG82" s="146"/>
      <c r="AH82" s="147"/>
      <c r="AI82" s="146"/>
      <c r="AJ82" s="145" t="str">
        <f t="shared" si="10"/>
        <v/>
      </c>
      <c r="AK82" s="145" t="str">
        <f t="shared" si="11"/>
        <v/>
      </c>
    </row>
    <row r="83" spans="2:37" ht="21" x14ac:dyDescent="0.35">
      <c r="B83" s="146"/>
      <c r="C83" s="146"/>
      <c r="D83" s="146"/>
      <c r="E83" s="146"/>
      <c r="F83" s="146"/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6"/>
      <c r="AD83" s="147" t="str">
        <f t="shared" si="8"/>
        <v/>
      </c>
      <c r="AE83" s="147" t="str">
        <f t="shared" si="9"/>
        <v/>
      </c>
      <c r="AF83" s="147"/>
      <c r="AG83" s="146"/>
      <c r="AH83" s="147"/>
      <c r="AI83" s="146"/>
      <c r="AJ83" s="145" t="str">
        <f t="shared" si="10"/>
        <v/>
      </c>
      <c r="AK83" s="145" t="str">
        <f t="shared" si="11"/>
        <v/>
      </c>
    </row>
    <row r="84" spans="2:37" ht="21" x14ac:dyDescent="0.35">
      <c r="B84" s="146"/>
      <c r="C84" s="146"/>
      <c r="D84" s="146"/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7" t="str">
        <f t="shared" si="8"/>
        <v/>
      </c>
      <c r="AE84" s="147" t="str">
        <f t="shared" si="9"/>
        <v/>
      </c>
      <c r="AF84" s="147"/>
      <c r="AG84" s="146"/>
      <c r="AH84" s="147"/>
      <c r="AI84" s="146"/>
      <c r="AJ84" s="145" t="str">
        <f t="shared" si="10"/>
        <v/>
      </c>
      <c r="AK84" s="145" t="str">
        <f t="shared" si="11"/>
        <v/>
      </c>
    </row>
    <row r="85" spans="2:37" ht="21" x14ac:dyDescent="0.35">
      <c r="B85" s="146"/>
      <c r="C85" s="146"/>
      <c r="D85" s="146"/>
      <c r="E85" s="146"/>
      <c r="F85" s="146"/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7" t="str">
        <f t="shared" si="8"/>
        <v/>
      </c>
      <c r="AE85" s="147" t="str">
        <f t="shared" si="9"/>
        <v/>
      </c>
      <c r="AF85" s="147"/>
      <c r="AG85" s="146"/>
      <c r="AH85" s="147"/>
      <c r="AI85" s="146"/>
      <c r="AJ85" s="145" t="str">
        <f t="shared" si="10"/>
        <v/>
      </c>
      <c r="AK85" s="145" t="str">
        <f t="shared" si="11"/>
        <v/>
      </c>
    </row>
    <row r="86" spans="2:37" ht="21" x14ac:dyDescent="0.35">
      <c r="B86" s="146"/>
      <c r="C86" s="146"/>
      <c r="D86" s="146"/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7" t="str">
        <f t="shared" si="8"/>
        <v/>
      </c>
      <c r="AE86" s="147" t="str">
        <f t="shared" si="9"/>
        <v/>
      </c>
      <c r="AF86" s="147"/>
      <c r="AG86" s="146"/>
      <c r="AH86" s="147"/>
      <c r="AI86" s="146"/>
      <c r="AJ86" s="145" t="str">
        <f t="shared" si="10"/>
        <v/>
      </c>
      <c r="AK86" s="145" t="str">
        <f t="shared" si="11"/>
        <v/>
      </c>
    </row>
    <row r="87" spans="2:37" ht="21" x14ac:dyDescent="0.35">
      <c r="B87" s="146"/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  <c r="AD87" s="147" t="str">
        <f t="shared" si="8"/>
        <v/>
      </c>
      <c r="AE87" s="147" t="str">
        <f t="shared" si="9"/>
        <v/>
      </c>
      <c r="AF87" s="147"/>
      <c r="AG87" s="146"/>
      <c r="AH87" s="147"/>
      <c r="AI87" s="146"/>
      <c r="AJ87" s="145" t="str">
        <f t="shared" si="10"/>
        <v/>
      </c>
      <c r="AK87" s="145" t="str">
        <f t="shared" si="11"/>
        <v/>
      </c>
    </row>
    <row r="88" spans="2:37" ht="21" x14ac:dyDescent="0.35">
      <c r="B88" s="146"/>
      <c r="C88" s="146"/>
      <c r="D88" s="146"/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146"/>
      <c r="W88" s="146"/>
      <c r="X88" s="146"/>
      <c r="Y88" s="146"/>
      <c r="Z88" s="146"/>
      <c r="AA88" s="146"/>
      <c r="AB88" s="146"/>
      <c r="AC88" s="146"/>
      <c r="AD88" s="147" t="str">
        <f t="shared" si="8"/>
        <v/>
      </c>
      <c r="AE88" s="147" t="str">
        <f t="shared" si="9"/>
        <v/>
      </c>
      <c r="AF88" s="147"/>
      <c r="AG88" s="146"/>
      <c r="AH88" s="147"/>
      <c r="AI88" s="146"/>
      <c r="AJ88" s="145" t="str">
        <f t="shared" si="10"/>
        <v/>
      </c>
      <c r="AK88" s="145" t="str">
        <f t="shared" si="11"/>
        <v/>
      </c>
    </row>
    <row r="89" spans="2:37" ht="21" x14ac:dyDescent="0.35">
      <c r="B89" s="146"/>
      <c r="C89" s="146"/>
      <c r="D89" s="146"/>
      <c r="E89" s="146"/>
      <c r="F89" s="146"/>
      <c r="G89" s="146"/>
      <c r="H89" s="146"/>
      <c r="I89" s="146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7" t="str">
        <f t="shared" si="8"/>
        <v/>
      </c>
      <c r="AE89" s="147" t="str">
        <f t="shared" si="9"/>
        <v/>
      </c>
      <c r="AF89" s="147"/>
      <c r="AG89" s="146"/>
      <c r="AH89" s="147"/>
      <c r="AI89" s="146"/>
      <c r="AJ89" s="145" t="str">
        <f t="shared" si="10"/>
        <v/>
      </c>
      <c r="AK89" s="145" t="str">
        <f t="shared" si="11"/>
        <v/>
      </c>
    </row>
    <row r="90" spans="2:37" ht="21" x14ac:dyDescent="0.35">
      <c r="B90" s="146"/>
      <c r="C90" s="146"/>
      <c r="D90" s="146"/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7" t="str">
        <f t="shared" si="8"/>
        <v/>
      </c>
      <c r="AE90" s="147" t="str">
        <f t="shared" si="9"/>
        <v/>
      </c>
      <c r="AF90" s="147"/>
      <c r="AG90" s="146"/>
      <c r="AH90" s="147"/>
      <c r="AI90" s="146"/>
      <c r="AJ90" s="145" t="str">
        <f t="shared" si="10"/>
        <v/>
      </c>
      <c r="AK90" s="145" t="str">
        <f t="shared" si="11"/>
        <v/>
      </c>
    </row>
    <row r="91" spans="2:37" ht="21" x14ac:dyDescent="0.35">
      <c r="B91" s="146"/>
      <c r="C91" s="146"/>
      <c r="D91" s="146"/>
      <c r="E91" s="146"/>
      <c r="F91" s="146"/>
      <c r="G91" s="146"/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7" t="str">
        <f t="shared" si="8"/>
        <v/>
      </c>
      <c r="AE91" s="147" t="str">
        <f t="shared" si="9"/>
        <v/>
      </c>
      <c r="AF91" s="147"/>
      <c r="AG91" s="146"/>
      <c r="AH91" s="147"/>
      <c r="AI91" s="146"/>
      <c r="AJ91" s="145" t="str">
        <f t="shared" si="10"/>
        <v/>
      </c>
      <c r="AK91" s="145" t="str">
        <f t="shared" si="11"/>
        <v/>
      </c>
    </row>
    <row r="92" spans="2:37" ht="21" x14ac:dyDescent="0.35">
      <c r="B92" s="146"/>
      <c r="C92" s="146"/>
      <c r="D92" s="146"/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7" t="str">
        <f t="shared" si="8"/>
        <v/>
      </c>
      <c r="AE92" s="147" t="str">
        <f t="shared" si="9"/>
        <v/>
      </c>
      <c r="AF92" s="147"/>
      <c r="AG92" s="146"/>
      <c r="AH92" s="147"/>
      <c r="AI92" s="146"/>
      <c r="AJ92" s="145" t="str">
        <f t="shared" si="10"/>
        <v/>
      </c>
      <c r="AK92" s="145" t="str">
        <f t="shared" si="11"/>
        <v/>
      </c>
    </row>
    <row r="93" spans="2:37" ht="21" x14ac:dyDescent="0.35">
      <c r="B93" s="146"/>
      <c r="C93" s="146"/>
      <c r="D93" s="146"/>
      <c r="E93" s="146"/>
      <c r="F93" s="146"/>
      <c r="G93" s="146"/>
      <c r="H93" s="146"/>
      <c r="I93" s="146"/>
      <c r="J93" s="146"/>
      <c r="K93" s="146"/>
      <c r="L93" s="146"/>
      <c r="M93" s="146"/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7" t="str">
        <f t="shared" si="8"/>
        <v/>
      </c>
      <c r="AE93" s="147" t="str">
        <f t="shared" si="9"/>
        <v/>
      </c>
      <c r="AF93" s="147"/>
      <c r="AG93" s="146"/>
      <c r="AH93" s="147"/>
      <c r="AI93" s="146"/>
      <c r="AJ93" s="145" t="str">
        <f t="shared" si="10"/>
        <v/>
      </c>
      <c r="AK93" s="145" t="str">
        <f t="shared" si="11"/>
        <v/>
      </c>
    </row>
    <row r="94" spans="2:37" ht="21" x14ac:dyDescent="0.35">
      <c r="B94" s="146"/>
      <c r="C94" s="146"/>
      <c r="D94" s="146"/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146"/>
      <c r="W94" s="146"/>
      <c r="X94" s="146"/>
      <c r="Y94" s="146"/>
      <c r="Z94" s="146"/>
      <c r="AA94" s="146"/>
      <c r="AB94" s="146"/>
      <c r="AC94" s="146"/>
      <c r="AD94" s="147" t="str">
        <f t="shared" si="8"/>
        <v/>
      </c>
      <c r="AE94" s="147" t="str">
        <f t="shared" si="9"/>
        <v/>
      </c>
      <c r="AF94" s="147"/>
      <c r="AG94" s="146"/>
      <c r="AH94" s="147"/>
      <c r="AI94" s="146"/>
      <c r="AJ94" s="145" t="str">
        <f t="shared" si="10"/>
        <v/>
      </c>
      <c r="AK94" s="145" t="str">
        <f t="shared" si="11"/>
        <v/>
      </c>
    </row>
    <row r="95" spans="2:37" ht="21" x14ac:dyDescent="0.35">
      <c r="B95" s="146"/>
      <c r="C95" s="146"/>
      <c r="D95" s="146"/>
      <c r="E95" s="146"/>
      <c r="F95" s="146"/>
      <c r="G95" s="146"/>
      <c r="H95" s="146"/>
      <c r="I95" s="146"/>
      <c r="J95" s="146"/>
      <c r="K95" s="146"/>
      <c r="L95" s="146"/>
      <c r="M95" s="146"/>
      <c r="N95" s="146"/>
      <c r="O95" s="146"/>
      <c r="P95" s="146"/>
      <c r="Q95" s="146"/>
      <c r="R95" s="146"/>
      <c r="S95" s="146"/>
      <c r="T95" s="146"/>
      <c r="U95" s="146"/>
      <c r="V95" s="146"/>
      <c r="W95" s="146"/>
      <c r="X95" s="146"/>
      <c r="Y95" s="146"/>
      <c r="Z95" s="146"/>
      <c r="AA95" s="146"/>
      <c r="AB95" s="146"/>
      <c r="AC95" s="146"/>
      <c r="AD95" s="147" t="str">
        <f t="shared" si="8"/>
        <v/>
      </c>
      <c r="AE95" s="147" t="str">
        <f t="shared" si="9"/>
        <v/>
      </c>
      <c r="AF95" s="147"/>
      <c r="AG95" s="146"/>
      <c r="AH95" s="147"/>
      <c r="AI95" s="146"/>
      <c r="AJ95" s="145" t="str">
        <f t="shared" si="10"/>
        <v/>
      </c>
      <c r="AK95" s="145" t="str">
        <f t="shared" si="11"/>
        <v/>
      </c>
    </row>
    <row r="96" spans="2:37" ht="21" x14ac:dyDescent="0.35">
      <c r="B96" s="146"/>
      <c r="C96" s="146"/>
      <c r="D96" s="146"/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146"/>
      <c r="W96" s="146"/>
      <c r="X96" s="146"/>
      <c r="Y96" s="146"/>
      <c r="Z96" s="146"/>
      <c r="AA96" s="146"/>
      <c r="AB96" s="146"/>
      <c r="AC96" s="146"/>
      <c r="AD96" s="147" t="str">
        <f t="shared" si="8"/>
        <v/>
      </c>
      <c r="AE96" s="147" t="str">
        <f t="shared" si="9"/>
        <v/>
      </c>
      <c r="AF96" s="147"/>
      <c r="AG96" s="146"/>
      <c r="AH96" s="147"/>
      <c r="AI96" s="146"/>
      <c r="AJ96" s="145" t="str">
        <f t="shared" si="10"/>
        <v/>
      </c>
      <c r="AK96" s="145" t="str">
        <f t="shared" si="11"/>
        <v/>
      </c>
    </row>
    <row r="97" spans="2:37" ht="21" x14ac:dyDescent="0.35">
      <c r="B97" s="146"/>
      <c r="C97" s="146"/>
      <c r="D97" s="146"/>
      <c r="E97" s="146"/>
      <c r="F97" s="146"/>
      <c r="G97" s="146"/>
      <c r="H97" s="146"/>
      <c r="I97" s="146"/>
      <c r="J97" s="146"/>
      <c r="K97" s="146"/>
      <c r="L97" s="146"/>
      <c r="M97" s="146"/>
      <c r="N97" s="146"/>
      <c r="O97" s="146"/>
      <c r="P97" s="146"/>
      <c r="Q97" s="146"/>
      <c r="R97" s="146"/>
      <c r="S97" s="146"/>
      <c r="T97" s="146"/>
      <c r="U97" s="146"/>
      <c r="V97" s="146"/>
      <c r="W97" s="146"/>
      <c r="X97" s="146"/>
      <c r="Y97" s="146"/>
      <c r="Z97" s="146"/>
      <c r="AA97" s="146"/>
      <c r="AB97" s="146"/>
      <c r="AC97" s="146"/>
      <c r="AD97" s="147" t="str">
        <f t="shared" si="8"/>
        <v/>
      </c>
      <c r="AE97" s="147" t="str">
        <f t="shared" si="9"/>
        <v/>
      </c>
      <c r="AF97" s="147"/>
      <c r="AG97" s="146"/>
      <c r="AH97" s="147"/>
      <c r="AI97" s="146"/>
      <c r="AJ97" s="145" t="str">
        <f t="shared" si="10"/>
        <v/>
      </c>
      <c r="AK97" s="145" t="str">
        <f t="shared" si="11"/>
        <v/>
      </c>
    </row>
    <row r="98" spans="2:37" ht="21" x14ac:dyDescent="0.35"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146"/>
      <c r="W98" s="146"/>
      <c r="X98" s="146"/>
      <c r="Y98" s="146"/>
      <c r="Z98" s="146"/>
      <c r="AA98" s="146"/>
      <c r="AB98" s="146"/>
      <c r="AC98" s="146"/>
      <c r="AD98" s="147" t="str">
        <f t="shared" si="8"/>
        <v/>
      </c>
      <c r="AE98" s="147" t="str">
        <f t="shared" si="9"/>
        <v/>
      </c>
      <c r="AF98" s="147"/>
      <c r="AG98" s="146"/>
      <c r="AH98" s="147"/>
      <c r="AI98" s="146"/>
      <c r="AJ98" s="145" t="str">
        <f t="shared" si="10"/>
        <v/>
      </c>
      <c r="AK98" s="145" t="str">
        <f t="shared" si="11"/>
        <v/>
      </c>
    </row>
    <row r="99" spans="2:37" ht="21" x14ac:dyDescent="0.35">
      <c r="B99" s="146"/>
      <c r="C99" s="146"/>
      <c r="D99" s="146"/>
      <c r="E99" s="146"/>
      <c r="F99" s="146"/>
      <c r="G99" s="146"/>
      <c r="H99" s="146"/>
      <c r="I99" s="146"/>
      <c r="J99" s="146"/>
      <c r="K99" s="146"/>
      <c r="L99" s="146"/>
      <c r="M99" s="146"/>
      <c r="N99" s="146"/>
      <c r="O99" s="146"/>
      <c r="P99" s="146"/>
      <c r="Q99" s="146"/>
      <c r="R99" s="146"/>
      <c r="S99" s="146"/>
      <c r="T99" s="146"/>
      <c r="U99" s="146"/>
      <c r="V99" s="146"/>
      <c r="W99" s="146"/>
      <c r="X99" s="146"/>
      <c r="Y99" s="146"/>
      <c r="Z99" s="146"/>
      <c r="AA99" s="146"/>
      <c r="AB99" s="146"/>
      <c r="AC99" s="146"/>
      <c r="AD99" s="147" t="str">
        <f t="shared" si="8"/>
        <v/>
      </c>
      <c r="AE99" s="147" t="str">
        <f t="shared" si="9"/>
        <v/>
      </c>
      <c r="AF99" s="147"/>
      <c r="AG99" s="146"/>
      <c r="AH99" s="147"/>
      <c r="AI99" s="146"/>
      <c r="AJ99" s="145" t="str">
        <f t="shared" si="10"/>
        <v/>
      </c>
      <c r="AK99" s="145" t="str">
        <f t="shared" si="11"/>
        <v/>
      </c>
    </row>
    <row r="100" spans="2:37" ht="21" x14ac:dyDescent="0.35">
      <c r="B100" s="146"/>
      <c r="C100" s="146"/>
      <c r="D100" s="146"/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146"/>
      <c r="W100" s="146"/>
      <c r="X100" s="146"/>
      <c r="Y100" s="146"/>
      <c r="Z100" s="146"/>
      <c r="AA100" s="146"/>
      <c r="AB100" s="146"/>
      <c r="AC100" s="146"/>
      <c r="AD100" s="147" t="str">
        <f t="shared" si="8"/>
        <v/>
      </c>
      <c r="AE100" s="147" t="str">
        <f t="shared" si="9"/>
        <v/>
      </c>
      <c r="AF100" s="147"/>
      <c r="AG100" s="146"/>
      <c r="AH100" s="147"/>
      <c r="AI100" s="146"/>
      <c r="AJ100" s="145" t="str">
        <f t="shared" si="10"/>
        <v/>
      </c>
      <c r="AK100" s="145" t="str">
        <f t="shared" si="11"/>
        <v/>
      </c>
    </row>
    <row r="101" spans="2:37" ht="21" x14ac:dyDescent="0.35">
      <c r="B101" s="146"/>
      <c r="C101" s="146"/>
      <c r="D101" s="146"/>
      <c r="E101" s="146"/>
      <c r="F101" s="146"/>
      <c r="G101" s="146"/>
      <c r="H101" s="146"/>
      <c r="I101" s="146"/>
      <c r="J101" s="146"/>
      <c r="K101" s="146"/>
      <c r="L101" s="146"/>
      <c r="M101" s="146"/>
      <c r="N101" s="146"/>
      <c r="O101" s="146"/>
      <c r="P101" s="146"/>
      <c r="Q101" s="146"/>
      <c r="R101" s="146"/>
      <c r="S101" s="146"/>
      <c r="T101" s="146"/>
      <c r="U101" s="146"/>
      <c r="V101" s="146"/>
      <c r="W101" s="146"/>
      <c r="X101" s="146"/>
      <c r="Y101" s="146"/>
      <c r="Z101" s="146"/>
      <c r="AA101" s="146"/>
      <c r="AB101" s="146"/>
      <c r="AC101" s="146"/>
      <c r="AD101" s="147" t="str">
        <f t="shared" si="8"/>
        <v/>
      </c>
      <c r="AE101" s="147" t="str">
        <f t="shared" si="9"/>
        <v/>
      </c>
      <c r="AF101" s="147"/>
      <c r="AG101" s="146"/>
      <c r="AH101" s="147"/>
      <c r="AI101" s="146"/>
      <c r="AJ101" s="145" t="str">
        <f t="shared" si="10"/>
        <v/>
      </c>
      <c r="AK101" s="145" t="str">
        <f t="shared" si="11"/>
        <v/>
      </c>
    </row>
    <row r="102" spans="2:37" ht="21" x14ac:dyDescent="0.35">
      <c r="B102" s="146"/>
      <c r="C102" s="146"/>
      <c r="D102" s="146"/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  <c r="AD102" s="147" t="str">
        <f t="shared" si="8"/>
        <v/>
      </c>
      <c r="AE102" s="147" t="str">
        <f t="shared" si="9"/>
        <v/>
      </c>
      <c r="AF102" s="147"/>
      <c r="AG102" s="146"/>
      <c r="AH102" s="147"/>
      <c r="AI102" s="146"/>
      <c r="AJ102" s="145" t="str">
        <f t="shared" si="10"/>
        <v/>
      </c>
      <c r="AK102" s="145" t="str">
        <f t="shared" si="11"/>
        <v/>
      </c>
    </row>
    <row r="103" spans="2:37" ht="21" x14ac:dyDescent="0.35">
      <c r="B103" s="146"/>
      <c r="C103" s="146"/>
      <c r="D103" s="146"/>
      <c r="E103" s="146"/>
      <c r="F103" s="146"/>
      <c r="G103" s="146"/>
      <c r="H103" s="146"/>
      <c r="I103" s="146"/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7" t="str">
        <f t="shared" si="8"/>
        <v/>
      </c>
      <c r="AE103" s="147" t="str">
        <f t="shared" si="9"/>
        <v/>
      </c>
      <c r="AF103" s="147"/>
      <c r="AG103" s="146"/>
      <c r="AH103" s="147"/>
      <c r="AI103" s="146"/>
      <c r="AJ103" s="145" t="str">
        <f t="shared" si="10"/>
        <v/>
      </c>
      <c r="AK103" s="145" t="str">
        <f t="shared" si="11"/>
        <v/>
      </c>
    </row>
    <row r="104" spans="2:37" ht="21" x14ac:dyDescent="0.35">
      <c r="B104" s="146"/>
      <c r="C104" s="146"/>
      <c r="D104" s="146"/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  <c r="AC104" s="146"/>
      <c r="AD104" s="147" t="str">
        <f t="shared" si="8"/>
        <v/>
      </c>
      <c r="AE104" s="147" t="str">
        <f t="shared" si="9"/>
        <v/>
      </c>
      <c r="AF104" s="147"/>
      <c r="AG104" s="146"/>
      <c r="AH104" s="147"/>
      <c r="AI104" s="146"/>
      <c r="AJ104" s="145" t="str">
        <f t="shared" si="10"/>
        <v/>
      </c>
      <c r="AK104" s="145" t="str">
        <f t="shared" si="11"/>
        <v/>
      </c>
    </row>
    <row r="105" spans="2:37" ht="21" x14ac:dyDescent="0.35">
      <c r="B105" s="146"/>
      <c r="C105" s="146"/>
      <c r="D105" s="146"/>
      <c r="E105" s="146"/>
      <c r="F105" s="146"/>
      <c r="G105" s="146"/>
      <c r="H105" s="146"/>
      <c r="I105" s="146"/>
      <c r="J105" s="146"/>
      <c r="K105" s="146"/>
      <c r="L105" s="146"/>
      <c r="M105" s="146"/>
      <c r="N105" s="146"/>
      <c r="O105" s="146"/>
      <c r="P105" s="146"/>
      <c r="Q105" s="146"/>
      <c r="R105" s="146"/>
      <c r="S105" s="146"/>
      <c r="T105" s="146"/>
      <c r="U105" s="146"/>
      <c r="V105" s="146"/>
      <c r="W105" s="146"/>
      <c r="X105" s="146"/>
      <c r="Y105" s="146"/>
      <c r="Z105" s="146"/>
      <c r="AA105" s="146"/>
      <c r="AB105" s="146"/>
      <c r="AC105" s="146"/>
      <c r="AD105" s="147" t="str">
        <f t="shared" si="8"/>
        <v/>
      </c>
      <c r="AE105" s="147" t="str">
        <f t="shared" si="9"/>
        <v/>
      </c>
      <c r="AF105" s="147"/>
      <c r="AG105" s="146"/>
      <c r="AH105" s="147"/>
      <c r="AI105" s="146"/>
      <c r="AJ105" s="145" t="str">
        <f t="shared" si="10"/>
        <v/>
      </c>
      <c r="AK105" s="145" t="str">
        <f t="shared" si="11"/>
        <v/>
      </c>
    </row>
    <row r="106" spans="2:37" ht="21" x14ac:dyDescent="0.35">
      <c r="B106" s="146"/>
      <c r="C106" s="146"/>
      <c r="D106" s="146"/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  <c r="AC106" s="146"/>
      <c r="AD106" s="147" t="str">
        <f t="shared" si="8"/>
        <v/>
      </c>
      <c r="AE106" s="147" t="str">
        <f t="shared" si="9"/>
        <v/>
      </c>
      <c r="AF106" s="147"/>
      <c r="AG106" s="146"/>
      <c r="AH106" s="147"/>
      <c r="AI106" s="146"/>
      <c r="AJ106" s="145" t="str">
        <f t="shared" si="10"/>
        <v/>
      </c>
      <c r="AK106" s="145" t="str">
        <f t="shared" si="11"/>
        <v/>
      </c>
    </row>
    <row r="107" spans="2:37" ht="21" x14ac:dyDescent="0.35">
      <c r="B107" s="146"/>
      <c r="C107" s="146"/>
      <c r="D107" s="146"/>
      <c r="E107" s="146"/>
      <c r="F107" s="146"/>
      <c r="G107" s="146"/>
      <c r="H107" s="146"/>
      <c r="I107" s="146"/>
      <c r="J107" s="146"/>
      <c r="K107" s="146"/>
      <c r="L107" s="146"/>
      <c r="M107" s="146"/>
      <c r="N107" s="146"/>
      <c r="O107" s="146"/>
      <c r="P107" s="146"/>
      <c r="Q107" s="146"/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  <c r="AC107" s="146"/>
      <c r="AD107" s="147" t="str">
        <f t="shared" si="8"/>
        <v/>
      </c>
      <c r="AE107" s="147" t="str">
        <f t="shared" si="9"/>
        <v/>
      </c>
      <c r="AF107" s="147"/>
      <c r="AG107" s="146"/>
      <c r="AH107" s="147"/>
      <c r="AI107" s="146"/>
      <c r="AJ107" s="145" t="str">
        <f t="shared" si="10"/>
        <v/>
      </c>
      <c r="AK107" s="145" t="str">
        <f t="shared" si="11"/>
        <v/>
      </c>
    </row>
    <row r="108" spans="2:37" ht="21" x14ac:dyDescent="0.35">
      <c r="B108" s="146"/>
      <c r="C108" s="146"/>
      <c r="D108" s="146"/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146"/>
      <c r="W108" s="146"/>
      <c r="X108" s="146"/>
      <c r="Y108" s="146"/>
      <c r="Z108" s="146"/>
      <c r="AA108" s="146"/>
      <c r="AB108" s="146"/>
      <c r="AC108" s="146"/>
      <c r="AD108" s="147" t="str">
        <f t="shared" si="8"/>
        <v/>
      </c>
      <c r="AE108" s="147" t="str">
        <f t="shared" si="9"/>
        <v/>
      </c>
      <c r="AF108" s="147"/>
      <c r="AG108" s="146"/>
      <c r="AH108" s="147"/>
      <c r="AI108" s="146"/>
      <c r="AJ108" s="145" t="str">
        <f t="shared" si="10"/>
        <v/>
      </c>
      <c r="AK108" s="145" t="str">
        <f t="shared" si="11"/>
        <v/>
      </c>
    </row>
    <row r="109" spans="2:37" ht="21" x14ac:dyDescent="0.35">
      <c r="B109" s="146"/>
      <c r="C109" s="146"/>
      <c r="D109" s="146"/>
      <c r="E109" s="146"/>
      <c r="F109" s="146"/>
      <c r="G109" s="146"/>
      <c r="H109" s="146"/>
      <c r="I109" s="146"/>
      <c r="J109" s="146"/>
      <c r="K109" s="146"/>
      <c r="L109" s="146"/>
      <c r="M109" s="146"/>
      <c r="N109" s="146"/>
      <c r="O109" s="146"/>
      <c r="P109" s="146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  <c r="AC109" s="146"/>
      <c r="AD109" s="147" t="str">
        <f t="shared" si="8"/>
        <v/>
      </c>
      <c r="AE109" s="147" t="str">
        <f t="shared" si="9"/>
        <v/>
      </c>
      <c r="AF109" s="147"/>
      <c r="AG109" s="146"/>
      <c r="AH109" s="147"/>
      <c r="AI109" s="146"/>
      <c r="AJ109" s="145" t="str">
        <f t="shared" si="10"/>
        <v/>
      </c>
      <c r="AK109" s="145" t="str">
        <f t="shared" si="11"/>
        <v/>
      </c>
    </row>
    <row r="110" spans="2:37" ht="21" x14ac:dyDescent="0.35">
      <c r="B110" s="146"/>
      <c r="C110" s="146"/>
      <c r="D110" s="146"/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146"/>
      <c r="W110" s="146"/>
      <c r="X110" s="146"/>
      <c r="Y110" s="146"/>
      <c r="Z110" s="146"/>
      <c r="AA110" s="146"/>
      <c r="AB110" s="146"/>
      <c r="AC110" s="146"/>
      <c r="AD110" s="147" t="str">
        <f t="shared" si="8"/>
        <v/>
      </c>
      <c r="AE110" s="147" t="str">
        <f t="shared" si="9"/>
        <v/>
      </c>
      <c r="AF110" s="147"/>
      <c r="AG110" s="146"/>
      <c r="AH110" s="147"/>
      <c r="AI110" s="146"/>
      <c r="AJ110" s="145" t="str">
        <f t="shared" si="10"/>
        <v/>
      </c>
      <c r="AK110" s="145" t="str">
        <f t="shared" si="11"/>
        <v/>
      </c>
    </row>
    <row r="111" spans="2:37" ht="21" x14ac:dyDescent="0.35">
      <c r="B111" s="146"/>
      <c r="C111" s="146"/>
      <c r="D111" s="146"/>
      <c r="E111" s="146"/>
      <c r="F111" s="146"/>
      <c r="G111" s="146"/>
      <c r="H111" s="146"/>
      <c r="I111" s="146"/>
      <c r="J111" s="146"/>
      <c r="K111" s="146"/>
      <c r="L111" s="146"/>
      <c r="M111" s="146"/>
      <c r="N111" s="146"/>
      <c r="O111" s="14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  <c r="AC111" s="146"/>
      <c r="AD111" s="147" t="str">
        <f t="shared" si="8"/>
        <v/>
      </c>
      <c r="AE111" s="147" t="str">
        <f t="shared" si="9"/>
        <v/>
      </c>
      <c r="AF111" s="147"/>
      <c r="AG111" s="146"/>
      <c r="AH111" s="147"/>
      <c r="AI111" s="146"/>
      <c r="AJ111" s="145" t="str">
        <f t="shared" si="10"/>
        <v/>
      </c>
      <c r="AK111" s="145" t="str">
        <f t="shared" si="11"/>
        <v/>
      </c>
    </row>
    <row r="112" spans="2:37" ht="21" x14ac:dyDescent="0.35">
      <c r="B112" s="146"/>
      <c r="C112" s="146"/>
      <c r="D112" s="146"/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7" t="str">
        <f t="shared" si="8"/>
        <v/>
      </c>
      <c r="AE112" s="147" t="str">
        <f t="shared" si="9"/>
        <v/>
      </c>
      <c r="AF112" s="147"/>
      <c r="AG112" s="146"/>
      <c r="AH112" s="147"/>
      <c r="AI112" s="146"/>
      <c r="AJ112" s="145" t="str">
        <f t="shared" si="10"/>
        <v/>
      </c>
      <c r="AK112" s="145" t="str">
        <f t="shared" si="11"/>
        <v/>
      </c>
    </row>
    <row r="113" spans="2:37" ht="21" x14ac:dyDescent="0.35">
      <c r="B113" s="146"/>
      <c r="C113" s="146"/>
      <c r="D113" s="146"/>
      <c r="E113" s="146"/>
      <c r="F113" s="146"/>
      <c r="G113" s="146"/>
      <c r="H113" s="146"/>
      <c r="I113" s="146"/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7" t="str">
        <f t="shared" si="8"/>
        <v/>
      </c>
      <c r="AE113" s="147" t="str">
        <f t="shared" si="9"/>
        <v/>
      </c>
      <c r="AF113" s="147"/>
      <c r="AG113" s="146"/>
      <c r="AH113" s="147"/>
      <c r="AI113" s="146"/>
      <c r="AJ113" s="145" t="str">
        <f t="shared" si="10"/>
        <v/>
      </c>
      <c r="AK113" s="145" t="str">
        <f t="shared" si="11"/>
        <v/>
      </c>
    </row>
    <row r="114" spans="2:37" ht="21" x14ac:dyDescent="0.35">
      <c r="B114" s="146"/>
      <c r="C114" s="146"/>
      <c r="D114" s="146"/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146"/>
      <c r="W114" s="146"/>
      <c r="X114" s="146"/>
      <c r="Y114" s="146"/>
      <c r="Z114" s="146"/>
      <c r="AA114" s="146"/>
      <c r="AB114" s="146"/>
      <c r="AC114" s="146"/>
      <c r="AD114" s="147" t="str">
        <f t="shared" si="8"/>
        <v/>
      </c>
      <c r="AE114" s="147" t="str">
        <f t="shared" si="9"/>
        <v/>
      </c>
      <c r="AF114" s="147"/>
      <c r="AG114" s="146"/>
      <c r="AH114" s="147"/>
      <c r="AI114" s="146"/>
      <c r="AJ114" s="145" t="str">
        <f t="shared" si="10"/>
        <v/>
      </c>
      <c r="AK114" s="145" t="str">
        <f t="shared" si="11"/>
        <v/>
      </c>
    </row>
    <row r="115" spans="2:37" ht="21" x14ac:dyDescent="0.35">
      <c r="B115" s="146"/>
      <c r="C115" s="146"/>
      <c r="D115" s="146"/>
      <c r="E115" s="146"/>
      <c r="F115" s="146"/>
      <c r="G115" s="146"/>
      <c r="H115" s="146"/>
      <c r="I115" s="146"/>
      <c r="J115" s="146"/>
      <c r="K115" s="146"/>
      <c r="L115" s="146"/>
      <c r="M115" s="146"/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  <c r="Z115" s="146"/>
      <c r="AA115" s="146"/>
      <c r="AB115" s="146"/>
      <c r="AC115" s="146"/>
      <c r="AD115" s="147" t="str">
        <f t="shared" si="8"/>
        <v/>
      </c>
      <c r="AE115" s="147" t="str">
        <f t="shared" si="9"/>
        <v/>
      </c>
      <c r="AF115" s="147"/>
      <c r="AG115" s="146"/>
      <c r="AH115" s="147"/>
      <c r="AI115" s="146"/>
      <c r="AJ115" s="145" t="str">
        <f t="shared" si="10"/>
        <v/>
      </c>
      <c r="AK115" s="145" t="str">
        <f t="shared" si="11"/>
        <v/>
      </c>
    </row>
    <row r="116" spans="2:37" ht="21" x14ac:dyDescent="0.35">
      <c r="B116" s="146"/>
      <c r="C116" s="146"/>
      <c r="D116" s="146"/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146"/>
      <c r="W116" s="146"/>
      <c r="X116" s="146"/>
      <c r="Y116" s="146"/>
      <c r="Z116" s="146"/>
      <c r="AA116" s="146"/>
      <c r="AB116" s="146"/>
      <c r="AC116" s="146"/>
      <c r="AD116" s="147" t="str">
        <f t="shared" si="8"/>
        <v/>
      </c>
      <c r="AE116" s="147" t="str">
        <f t="shared" si="9"/>
        <v/>
      </c>
      <c r="AF116" s="147"/>
      <c r="AG116" s="146"/>
      <c r="AH116" s="147"/>
      <c r="AI116" s="146"/>
      <c r="AJ116" s="145" t="str">
        <f t="shared" si="10"/>
        <v/>
      </c>
      <c r="AK116" s="145" t="str">
        <f t="shared" si="11"/>
        <v/>
      </c>
    </row>
    <row r="117" spans="2:37" ht="21" x14ac:dyDescent="0.35">
      <c r="B117" s="146"/>
      <c r="C117" s="146"/>
      <c r="D117" s="146"/>
      <c r="E117" s="146"/>
      <c r="F117" s="146"/>
      <c r="G117" s="146"/>
      <c r="H117" s="146"/>
      <c r="I117" s="146"/>
      <c r="J117" s="146"/>
      <c r="K117" s="146"/>
      <c r="L117" s="146"/>
      <c r="M117" s="146"/>
      <c r="N117" s="146"/>
      <c r="O117" s="146"/>
      <c r="P117" s="146"/>
      <c r="Q117" s="146"/>
      <c r="R117" s="146"/>
      <c r="S117" s="146"/>
      <c r="T117" s="146"/>
      <c r="U117" s="146"/>
      <c r="V117" s="146"/>
      <c r="W117" s="146"/>
      <c r="X117" s="146"/>
      <c r="Y117" s="146"/>
      <c r="Z117" s="146"/>
      <c r="AA117" s="146"/>
      <c r="AB117" s="146"/>
      <c r="AC117" s="146"/>
      <c r="AD117" s="147" t="str">
        <f t="shared" si="8"/>
        <v/>
      </c>
      <c r="AE117" s="147" t="str">
        <f t="shared" si="9"/>
        <v/>
      </c>
      <c r="AF117" s="147"/>
      <c r="AG117" s="146"/>
      <c r="AH117" s="147"/>
      <c r="AI117" s="146"/>
      <c r="AJ117" s="145" t="str">
        <f t="shared" si="10"/>
        <v/>
      </c>
      <c r="AK117" s="145" t="str">
        <f t="shared" si="11"/>
        <v/>
      </c>
    </row>
    <row r="118" spans="2:37" ht="21" x14ac:dyDescent="0.35">
      <c r="B118" s="146"/>
      <c r="C118" s="146"/>
      <c r="D118" s="146"/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146"/>
      <c r="W118" s="146"/>
      <c r="X118" s="146"/>
      <c r="Y118" s="146"/>
      <c r="Z118" s="146"/>
      <c r="AA118" s="146"/>
      <c r="AB118" s="146"/>
      <c r="AC118" s="146"/>
      <c r="AD118" s="147" t="str">
        <f t="shared" si="8"/>
        <v/>
      </c>
      <c r="AE118" s="147" t="str">
        <f t="shared" si="9"/>
        <v/>
      </c>
      <c r="AF118" s="147"/>
      <c r="AG118" s="146"/>
      <c r="AH118" s="147"/>
      <c r="AI118" s="146"/>
      <c r="AJ118" s="145" t="str">
        <f t="shared" si="10"/>
        <v/>
      </c>
      <c r="AK118" s="145" t="str">
        <f t="shared" si="11"/>
        <v/>
      </c>
    </row>
    <row r="119" spans="2:37" ht="21" x14ac:dyDescent="0.35">
      <c r="B119" s="146"/>
      <c r="C119" s="146"/>
      <c r="D119" s="146"/>
      <c r="E119" s="146"/>
      <c r="F119" s="146"/>
      <c r="G119" s="146"/>
      <c r="H119" s="146"/>
      <c r="I119" s="146"/>
      <c r="J119" s="146"/>
      <c r="K119" s="146"/>
      <c r="L119" s="146"/>
      <c r="M119" s="146"/>
      <c r="N119" s="146"/>
      <c r="O119" s="146"/>
      <c r="P119" s="146"/>
      <c r="Q119" s="146"/>
      <c r="R119" s="146"/>
      <c r="S119" s="146"/>
      <c r="T119" s="146"/>
      <c r="U119" s="146"/>
      <c r="V119" s="146"/>
      <c r="W119" s="146"/>
      <c r="X119" s="146"/>
      <c r="Y119" s="146"/>
      <c r="Z119" s="146"/>
      <c r="AA119" s="146"/>
      <c r="AB119" s="146"/>
      <c r="AC119" s="146"/>
      <c r="AD119" s="147" t="str">
        <f t="shared" si="8"/>
        <v/>
      </c>
      <c r="AE119" s="147" t="str">
        <f t="shared" si="9"/>
        <v/>
      </c>
      <c r="AF119" s="147"/>
      <c r="AG119" s="146"/>
      <c r="AH119" s="147"/>
      <c r="AI119" s="146"/>
      <c r="AJ119" s="145" t="str">
        <f t="shared" si="10"/>
        <v/>
      </c>
      <c r="AK119" s="145" t="str">
        <f t="shared" si="11"/>
        <v/>
      </c>
    </row>
    <row r="120" spans="2:37" ht="21" x14ac:dyDescent="0.35">
      <c r="B120" s="146"/>
      <c r="C120" s="146"/>
      <c r="D120" s="146"/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  <c r="Z120" s="146"/>
      <c r="AA120" s="146"/>
      <c r="AB120" s="146"/>
      <c r="AC120" s="146"/>
      <c r="AD120" s="147" t="str">
        <f t="shared" si="8"/>
        <v/>
      </c>
      <c r="AE120" s="147" t="str">
        <f t="shared" si="9"/>
        <v/>
      </c>
      <c r="AF120" s="147"/>
      <c r="AG120" s="146"/>
      <c r="AH120" s="147"/>
      <c r="AI120" s="146"/>
      <c r="AJ120" s="145" t="str">
        <f t="shared" si="10"/>
        <v/>
      </c>
      <c r="AK120" s="145" t="str">
        <f t="shared" si="11"/>
        <v/>
      </c>
    </row>
    <row r="121" spans="2:37" ht="21" x14ac:dyDescent="0.35">
      <c r="B121" s="146"/>
      <c r="C121" s="146"/>
      <c r="D121" s="146"/>
      <c r="E121" s="146"/>
      <c r="F121" s="146"/>
      <c r="G121" s="146"/>
      <c r="H121" s="146"/>
      <c r="I121" s="146"/>
      <c r="J121" s="146"/>
      <c r="K121" s="146"/>
      <c r="L121" s="146"/>
      <c r="M121" s="146"/>
      <c r="N121" s="146"/>
      <c r="O121" s="146"/>
      <c r="P121" s="146"/>
      <c r="Q121" s="146"/>
      <c r="R121" s="146"/>
      <c r="S121" s="146"/>
      <c r="T121" s="146"/>
      <c r="U121" s="146"/>
      <c r="V121" s="146"/>
      <c r="W121" s="146"/>
      <c r="X121" s="146"/>
      <c r="Y121" s="146"/>
      <c r="Z121" s="146"/>
      <c r="AA121" s="146"/>
      <c r="AB121" s="146"/>
      <c r="AC121" s="146"/>
      <c r="AD121" s="147" t="str">
        <f t="shared" si="8"/>
        <v/>
      </c>
      <c r="AE121" s="147" t="str">
        <f t="shared" si="9"/>
        <v/>
      </c>
      <c r="AF121" s="147"/>
      <c r="AG121" s="146"/>
      <c r="AH121" s="147"/>
      <c r="AI121" s="146"/>
      <c r="AJ121" s="145" t="str">
        <f t="shared" si="10"/>
        <v/>
      </c>
      <c r="AK121" s="145" t="str">
        <f t="shared" si="11"/>
        <v/>
      </c>
    </row>
    <row r="122" spans="2:37" ht="21" x14ac:dyDescent="0.35">
      <c r="B122" s="146"/>
      <c r="C122" s="146"/>
      <c r="D122" s="146"/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  <c r="AC122" s="146"/>
      <c r="AD122" s="147" t="str">
        <f t="shared" si="8"/>
        <v/>
      </c>
      <c r="AE122" s="147" t="str">
        <f t="shared" si="9"/>
        <v/>
      </c>
      <c r="AF122" s="147"/>
      <c r="AG122" s="146"/>
      <c r="AH122" s="147"/>
      <c r="AI122" s="146"/>
      <c r="AJ122" s="145" t="str">
        <f t="shared" si="10"/>
        <v/>
      </c>
      <c r="AK122" s="145" t="str">
        <f t="shared" si="11"/>
        <v/>
      </c>
    </row>
    <row r="123" spans="2:37" ht="21" x14ac:dyDescent="0.35">
      <c r="B123" s="146"/>
      <c r="C123" s="146"/>
      <c r="D123" s="146"/>
      <c r="E123" s="146"/>
      <c r="F123" s="146"/>
      <c r="G123" s="146"/>
      <c r="H123" s="146"/>
      <c r="I123" s="146"/>
      <c r="J123" s="146"/>
      <c r="K123" s="146"/>
      <c r="L123" s="146"/>
      <c r="M123" s="146"/>
      <c r="N123" s="146"/>
      <c r="O123" s="14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7" t="str">
        <f t="shared" si="8"/>
        <v/>
      </c>
      <c r="AE123" s="147" t="str">
        <f t="shared" si="9"/>
        <v/>
      </c>
      <c r="AF123" s="147"/>
      <c r="AG123" s="146"/>
      <c r="AH123" s="147"/>
      <c r="AI123" s="146"/>
      <c r="AJ123" s="145" t="str">
        <f t="shared" si="10"/>
        <v/>
      </c>
      <c r="AK123" s="145" t="str">
        <f t="shared" si="11"/>
        <v/>
      </c>
    </row>
    <row r="124" spans="2:37" ht="21" x14ac:dyDescent="0.35">
      <c r="B124" s="146"/>
      <c r="C124" s="146"/>
      <c r="D124" s="146"/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  <c r="AC124" s="146"/>
      <c r="AD124" s="147" t="str">
        <f t="shared" si="8"/>
        <v/>
      </c>
      <c r="AE124" s="147" t="str">
        <f t="shared" si="9"/>
        <v/>
      </c>
      <c r="AF124" s="147"/>
      <c r="AG124" s="146"/>
      <c r="AH124" s="147"/>
      <c r="AI124" s="146"/>
      <c r="AJ124" s="145" t="str">
        <f t="shared" si="10"/>
        <v/>
      </c>
      <c r="AK124" s="145" t="str">
        <f t="shared" si="11"/>
        <v/>
      </c>
    </row>
    <row r="125" spans="2:37" ht="21" x14ac:dyDescent="0.35">
      <c r="B125" s="146"/>
      <c r="C125" s="146"/>
      <c r="D125" s="146"/>
      <c r="E125" s="146"/>
      <c r="F125" s="146"/>
      <c r="G125" s="146"/>
      <c r="H125" s="146"/>
      <c r="I125" s="146"/>
      <c r="J125" s="146"/>
      <c r="K125" s="146"/>
      <c r="L125" s="146"/>
      <c r="M125" s="146"/>
      <c r="N125" s="146"/>
      <c r="O125" s="146"/>
      <c r="P125" s="146"/>
      <c r="Q125" s="146"/>
      <c r="R125" s="146"/>
      <c r="S125" s="146"/>
      <c r="T125" s="146"/>
      <c r="U125" s="146"/>
      <c r="V125" s="146"/>
      <c r="W125" s="146"/>
      <c r="X125" s="146"/>
      <c r="Y125" s="146"/>
      <c r="Z125" s="146"/>
      <c r="AA125" s="146"/>
      <c r="AB125" s="146"/>
      <c r="AC125" s="146"/>
      <c r="AD125" s="147" t="str">
        <f t="shared" si="8"/>
        <v/>
      </c>
      <c r="AE125" s="147" t="str">
        <f t="shared" si="9"/>
        <v/>
      </c>
      <c r="AF125" s="147"/>
      <c r="AG125" s="146"/>
      <c r="AH125" s="147"/>
      <c r="AI125" s="146"/>
      <c r="AJ125" s="145" t="str">
        <f t="shared" si="10"/>
        <v/>
      </c>
      <c r="AK125" s="145" t="str">
        <f t="shared" si="11"/>
        <v/>
      </c>
    </row>
    <row r="126" spans="2:37" ht="21" x14ac:dyDescent="0.35">
      <c r="B126" s="146"/>
      <c r="C126" s="146"/>
      <c r="D126" s="146"/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146"/>
      <c r="W126" s="146"/>
      <c r="X126" s="146"/>
      <c r="Y126" s="146"/>
      <c r="Z126" s="146"/>
      <c r="AA126" s="146"/>
      <c r="AB126" s="146"/>
      <c r="AC126" s="146"/>
      <c r="AD126" s="147" t="str">
        <f t="shared" si="8"/>
        <v/>
      </c>
      <c r="AE126" s="147" t="str">
        <f t="shared" si="9"/>
        <v/>
      </c>
      <c r="AF126" s="147"/>
      <c r="AG126" s="146"/>
      <c r="AH126" s="147"/>
      <c r="AI126" s="146"/>
      <c r="AJ126" s="145" t="str">
        <f t="shared" si="10"/>
        <v/>
      </c>
      <c r="AK126" s="145" t="str">
        <f t="shared" si="11"/>
        <v/>
      </c>
    </row>
    <row r="127" spans="2:37" ht="21" x14ac:dyDescent="0.35">
      <c r="B127" s="146"/>
      <c r="C127" s="146"/>
      <c r="D127" s="146"/>
      <c r="E127" s="146"/>
      <c r="F127" s="146"/>
      <c r="G127" s="146"/>
      <c r="H127" s="146"/>
      <c r="I127" s="146"/>
      <c r="J127" s="146"/>
      <c r="K127" s="146"/>
      <c r="L127" s="146"/>
      <c r="M127" s="146"/>
      <c r="N127" s="146"/>
      <c r="O127" s="146"/>
      <c r="P127" s="146"/>
      <c r="Q127" s="146"/>
      <c r="R127" s="146"/>
      <c r="S127" s="146"/>
      <c r="T127" s="146"/>
      <c r="U127" s="146"/>
      <c r="V127" s="146"/>
      <c r="W127" s="146"/>
      <c r="X127" s="146"/>
      <c r="Y127" s="146"/>
      <c r="Z127" s="146"/>
      <c r="AA127" s="146"/>
      <c r="AB127" s="146"/>
      <c r="AC127" s="146"/>
      <c r="AD127" s="147" t="str">
        <f t="shared" si="8"/>
        <v/>
      </c>
      <c r="AE127" s="147" t="str">
        <f t="shared" si="9"/>
        <v/>
      </c>
      <c r="AF127" s="147"/>
      <c r="AG127" s="146"/>
      <c r="AH127" s="147"/>
      <c r="AI127" s="146"/>
      <c r="AJ127" s="145" t="str">
        <f t="shared" si="10"/>
        <v/>
      </c>
      <c r="AK127" s="145" t="str">
        <f t="shared" si="11"/>
        <v/>
      </c>
    </row>
    <row r="128" spans="2:37" ht="21" x14ac:dyDescent="0.35">
      <c r="B128" s="146"/>
      <c r="C128" s="146"/>
      <c r="D128" s="146"/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146"/>
      <c r="W128" s="146"/>
      <c r="X128" s="146"/>
      <c r="Y128" s="146"/>
      <c r="Z128" s="146"/>
      <c r="AA128" s="146"/>
      <c r="AB128" s="146"/>
      <c r="AC128" s="146"/>
      <c r="AD128" s="147" t="str">
        <f t="shared" si="8"/>
        <v/>
      </c>
      <c r="AE128" s="147" t="str">
        <f t="shared" si="9"/>
        <v/>
      </c>
      <c r="AF128" s="147"/>
      <c r="AG128" s="146"/>
      <c r="AH128" s="147"/>
      <c r="AI128" s="146"/>
      <c r="AJ128" s="145" t="str">
        <f t="shared" si="10"/>
        <v/>
      </c>
      <c r="AK128" s="145" t="str">
        <f t="shared" si="11"/>
        <v/>
      </c>
    </row>
    <row r="129" spans="2:37" ht="21" x14ac:dyDescent="0.35">
      <c r="B129" s="146"/>
      <c r="C129" s="146"/>
      <c r="D129" s="146"/>
      <c r="E129" s="146"/>
      <c r="F129" s="146"/>
      <c r="G129" s="146"/>
      <c r="H129" s="146"/>
      <c r="I129" s="146"/>
      <c r="J129" s="146"/>
      <c r="K129" s="146"/>
      <c r="L129" s="146"/>
      <c r="M129" s="146"/>
      <c r="N129" s="146"/>
      <c r="O129" s="146"/>
      <c r="P129" s="146"/>
      <c r="Q129" s="146"/>
      <c r="R129" s="146"/>
      <c r="S129" s="146"/>
      <c r="T129" s="146"/>
      <c r="U129" s="146"/>
      <c r="V129" s="146"/>
      <c r="W129" s="146"/>
      <c r="X129" s="146"/>
      <c r="Y129" s="146"/>
      <c r="Z129" s="146"/>
      <c r="AA129" s="146"/>
      <c r="AB129" s="146"/>
      <c r="AC129" s="146"/>
      <c r="AD129" s="147" t="str">
        <f t="shared" si="8"/>
        <v/>
      </c>
      <c r="AE129" s="147" t="str">
        <f t="shared" si="9"/>
        <v/>
      </c>
      <c r="AF129" s="147"/>
      <c r="AG129" s="146"/>
      <c r="AH129" s="147"/>
      <c r="AI129" s="146"/>
      <c r="AJ129" s="145" t="str">
        <f t="shared" si="10"/>
        <v/>
      </c>
      <c r="AK129" s="145" t="str">
        <f t="shared" si="11"/>
        <v/>
      </c>
    </row>
    <row r="130" spans="2:37" ht="21" x14ac:dyDescent="0.35">
      <c r="B130" s="146"/>
      <c r="C130" s="146"/>
      <c r="D130" s="146"/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146"/>
      <c r="W130" s="146"/>
      <c r="X130" s="146"/>
      <c r="Y130" s="146"/>
      <c r="Z130" s="146"/>
      <c r="AA130" s="146"/>
      <c r="AB130" s="146"/>
      <c r="AC130" s="146"/>
      <c r="AD130" s="147" t="str">
        <f t="shared" si="8"/>
        <v/>
      </c>
      <c r="AE130" s="147" t="str">
        <f t="shared" si="9"/>
        <v/>
      </c>
      <c r="AF130" s="147"/>
      <c r="AG130" s="146"/>
      <c r="AH130" s="147"/>
      <c r="AI130" s="146"/>
      <c r="AJ130" s="145" t="str">
        <f t="shared" si="10"/>
        <v/>
      </c>
      <c r="AK130" s="145" t="str">
        <f t="shared" si="11"/>
        <v/>
      </c>
    </row>
    <row r="131" spans="2:37" ht="21" x14ac:dyDescent="0.35">
      <c r="B131" s="146"/>
      <c r="C131" s="146"/>
      <c r="D131" s="146"/>
      <c r="E131" s="146"/>
      <c r="F131" s="146"/>
      <c r="G131" s="146"/>
      <c r="H131" s="146"/>
      <c r="I131" s="146"/>
      <c r="J131" s="146"/>
      <c r="K131" s="146"/>
      <c r="L131" s="146"/>
      <c r="M131" s="146"/>
      <c r="N131" s="146"/>
      <c r="O131" s="146"/>
      <c r="P131" s="146"/>
      <c r="Q131" s="146"/>
      <c r="R131" s="146"/>
      <c r="S131" s="146"/>
      <c r="T131" s="146"/>
      <c r="U131" s="146"/>
      <c r="V131" s="146"/>
      <c r="W131" s="146"/>
      <c r="X131" s="146"/>
      <c r="Y131" s="146"/>
      <c r="Z131" s="146"/>
      <c r="AA131" s="146"/>
      <c r="AB131" s="146"/>
      <c r="AC131" s="146"/>
      <c r="AD131" s="147" t="str">
        <f t="shared" si="8"/>
        <v/>
      </c>
      <c r="AE131" s="147" t="str">
        <f t="shared" si="9"/>
        <v/>
      </c>
      <c r="AF131" s="147"/>
      <c r="AG131" s="146"/>
      <c r="AH131" s="147"/>
      <c r="AI131" s="146"/>
      <c r="AJ131" s="145" t="str">
        <f t="shared" si="10"/>
        <v/>
      </c>
      <c r="AK131" s="145" t="str">
        <f t="shared" si="11"/>
        <v/>
      </c>
    </row>
    <row r="132" spans="2:37" ht="21" x14ac:dyDescent="0.35">
      <c r="B132" s="146"/>
      <c r="C132" s="146"/>
      <c r="D132" s="146"/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146"/>
      <c r="W132" s="146"/>
      <c r="X132" s="146"/>
      <c r="Y132" s="146"/>
      <c r="Z132" s="146"/>
      <c r="AA132" s="146"/>
      <c r="AB132" s="146"/>
      <c r="AC132" s="146"/>
      <c r="AD132" s="147" t="str">
        <f t="shared" ref="AD132:AD195" si="12">IF(MIN(F132,J132,N132,R132,V132,Z132)&lt;&gt;0,MIN(F132,J132,N132,R132,V132,Z132),"")</f>
        <v/>
      </c>
      <c r="AE132" s="147" t="str">
        <f t="shared" ref="AE132:AE195" si="13">IF(MIN(H132,L132,P132,T132,X132,AB132)&lt;&gt;0,MIN(H132,L132,P132,T132,X132,AB132),"")</f>
        <v/>
      </c>
      <c r="AF132" s="147"/>
      <c r="AG132" s="146"/>
      <c r="AH132" s="147"/>
      <c r="AI132" s="146"/>
      <c r="AJ132" s="145" t="str">
        <f t="shared" ref="AJ132:AJ195" si="14">IF(AD132="","",IF(ISBLANK(AF132),"En cours",AD132+AF132))</f>
        <v/>
      </c>
      <c r="AK132" s="145" t="str">
        <f t="shared" ref="AK132:AK195" si="15">IF(AE132="","",IF(ISBLANK(AH132),"En cours",AE132+AH132))</f>
        <v/>
      </c>
    </row>
    <row r="133" spans="2:37" ht="21" x14ac:dyDescent="0.35">
      <c r="B133" s="146"/>
      <c r="C133" s="146"/>
      <c r="D133" s="146"/>
      <c r="E133" s="146"/>
      <c r="F133" s="146"/>
      <c r="G133" s="146"/>
      <c r="H133" s="146"/>
      <c r="I133" s="146"/>
      <c r="J133" s="146"/>
      <c r="K133" s="146"/>
      <c r="L133" s="146"/>
      <c r="M133" s="146"/>
      <c r="N133" s="146"/>
      <c r="O133" s="146"/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7" t="str">
        <f t="shared" si="12"/>
        <v/>
      </c>
      <c r="AE133" s="147" t="str">
        <f t="shared" si="13"/>
        <v/>
      </c>
      <c r="AF133" s="147"/>
      <c r="AG133" s="146"/>
      <c r="AH133" s="147"/>
      <c r="AI133" s="146"/>
      <c r="AJ133" s="145" t="str">
        <f t="shared" si="14"/>
        <v/>
      </c>
      <c r="AK133" s="145" t="str">
        <f t="shared" si="15"/>
        <v/>
      </c>
    </row>
    <row r="134" spans="2:37" ht="21" x14ac:dyDescent="0.35">
      <c r="B134" s="146"/>
      <c r="C134" s="146"/>
      <c r="D134" s="146"/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  <c r="AC134" s="146"/>
      <c r="AD134" s="147" t="str">
        <f t="shared" si="12"/>
        <v/>
      </c>
      <c r="AE134" s="147" t="str">
        <f t="shared" si="13"/>
        <v/>
      </c>
      <c r="AF134" s="147"/>
      <c r="AG134" s="146"/>
      <c r="AH134" s="147"/>
      <c r="AI134" s="146"/>
      <c r="AJ134" s="145" t="str">
        <f t="shared" si="14"/>
        <v/>
      </c>
      <c r="AK134" s="145" t="str">
        <f t="shared" si="15"/>
        <v/>
      </c>
    </row>
    <row r="135" spans="2:37" ht="21" x14ac:dyDescent="0.35">
      <c r="B135" s="146"/>
      <c r="C135" s="146"/>
      <c r="D135" s="146"/>
      <c r="E135" s="146"/>
      <c r="F135" s="146"/>
      <c r="G135" s="146"/>
      <c r="H135" s="146"/>
      <c r="I135" s="146"/>
      <c r="J135" s="146"/>
      <c r="K135" s="146"/>
      <c r="L135" s="146"/>
      <c r="M135" s="146"/>
      <c r="N135" s="146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7" t="str">
        <f t="shared" si="12"/>
        <v/>
      </c>
      <c r="AE135" s="147" t="str">
        <f t="shared" si="13"/>
        <v/>
      </c>
      <c r="AF135" s="147"/>
      <c r="AG135" s="146"/>
      <c r="AH135" s="147"/>
      <c r="AI135" s="146"/>
      <c r="AJ135" s="145" t="str">
        <f t="shared" si="14"/>
        <v/>
      </c>
      <c r="AK135" s="145" t="str">
        <f t="shared" si="15"/>
        <v/>
      </c>
    </row>
    <row r="136" spans="2:37" ht="21" x14ac:dyDescent="0.35">
      <c r="B136" s="146"/>
      <c r="C136" s="146"/>
      <c r="D136" s="146"/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146"/>
      <c r="W136" s="146"/>
      <c r="X136" s="146"/>
      <c r="Y136" s="146"/>
      <c r="Z136" s="146"/>
      <c r="AA136" s="146"/>
      <c r="AB136" s="146"/>
      <c r="AC136" s="146"/>
      <c r="AD136" s="147" t="str">
        <f t="shared" si="12"/>
        <v/>
      </c>
      <c r="AE136" s="147" t="str">
        <f t="shared" si="13"/>
        <v/>
      </c>
      <c r="AF136" s="147"/>
      <c r="AG136" s="146"/>
      <c r="AH136" s="147"/>
      <c r="AI136" s="146"/>
      <c r="AJ136" s="145" t="str">
        <f t="shared" si="14"/>
        <v/>
      </c>
      <c r="AK136" s="145" t="str">
        <f t="shared" si="15"/>
        <v/>
      </c>
    </row>
    <row r="137" spans="2:37" ht="21" x14ac:dyDescent="0.35">
      <c r="B137" s="146"/>
      <c r="C137" s="146"/>
      <c r="D137" s="146"/>
      <c r="E137" s="146"/>
      <c r="F137" s="146"/>
      <c r="G137" s="146"/>
      <c r="H137" s="146"/>
      <c r="I137" s="146"/>
      <c r="J137" s="146"/>
      <c r="K137" s="146"/>
      <c r="L137" s="146"/>
      <c r="M137" s="146"/>
      <c r="N137" s="146"/>
      <c r="O137" s="146"/>
      <c r="P137" s="146"/>
      <c r="Q137" s="146"/>
      <c r="R137" s="146"/>
      <c r="S137" s="146"/>
      <c r="T137" s="146"/>
      <c r="U137" s="146"/>
      <c r="V137" s="146"/>
      <c r="W137" s="146"/>
      <c r="X137" s="146"/>
      <c r="Y137" s="146"/>
      <c r="Z137" s="146"/>
      <c r="AA137" s="146"/>
      <c r="AB137" s="146"/>
      <c r="AC137" s="146"/>
      <c r="AD137" s="147" t="str">
        <f t="shared" si="12"/>
        <v/>
      </c>
      <c r="AE137" s="147" t="str">
        <f t="shared" si="13"/>
        <v/>
      </c>
      <c r="AF137" s="147"/>
      <c r="AG137" s="146"/>
      <c r="AH137" s="147"/>
      <c r="AI137" s="146"/>
      <c r="AJ137" s="145" t="str">
        <f t="shared" si="14"/>
        <v/>
      </c>
      <c r="AK137" s="145" t="str">
        <f t="shared" si="15"/>
        <v/>
      </c>
    </row>
    <row r="138" spans="2:37" ht="21" x14ac:dyDescent="0.35">
      <c r="B138" s="146"/>
      <c r="C138" s="146"/>
      <c r="D138" s="146"/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6"/>
      <c r="AA138" s="146"/>
      <c r="AB138" s="146"/>
      <c r="AC138" s="146"/>
      <c r="AD138" s="147" t="str">
        <f t="shared" si="12"/>
        <v/>
      </c>
      <c r="AE138" s="147" t="str">
        <f t="shared" si="13"/>
        <v/>
      </c>
      <c r="AF138" s="147"/>
      <c r="AG138" s="146"/>
      <c r="AH138" s="147"/>
      <c r="AI138" s="146"/>
      <c r="AJ138" s="145" t="str">
        <f t="shared" si="14"/>
        <v/>
      </c>
      <c r="AK138" s="145" t="str">
        <f t="shared" si="15"/>
        <v/>
      </c>
    </row>
    <row r="139" spans="2:37" ht="21" x14ac:dyDescent="0.35">
      <c r="B139" s="146"/>
      <c r="C139" s="146"/>
      <c r="D139" s="146"/>
      <c r="E139" s="146"/>
      <c r="F139" s="146"/>
      <c r="G139" s="146"/>
      <c r="H139" s="146"/>
      <c r="I139" s="146"/>
      <c r="J139" s="146"/>
      <c r="K139" s="146"/>
      <c r="L139" s="146"/>
      <c r="M139" s="146"/>
      <c r="N139" s="146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6"/>
      <c r="AA139" s="146"/>
      <c r="AB139" s="146"/>
      <c r="AC139" s="146"/>
      <c r="AD139" s="147" t="str">
        <f t="shared" si="12"/>
        <v/>
      </c>
      <c r="AE139" s="147" t="str">
        <f t="shared" si="13"/>
        <v/>
      </c>
      <c r="AF139" s="147"/>
      <c r="AG139" s="146"/>
      <c r="AH139" s="147"/>
      <c r="AI139" s="146"/>
      <c r="AJ139" s="145" t="str">
        <f t="shared" si="14"/>
        <v/>
      </c>
      <c r="AK139" s="145" t="str">
        <f t="shared" si="15"/>
        <v/>
      </c>
    </row>
    <row r="140" spans="2:37" ht="21" x14ac:dyDescent="0.35">
      <c r="B140" s="146"/>
      <c r="C140" s="146"/>
      <c r="D140" s="146"/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6"/>
      <c r="AA140" s="146"/>
      <c r="AB140" s="146"/>
      <c r="AC140" s="146"/>
      <c r="AD140" s="147" t="str">
        <f t="shared" si="12"/>
        <v/>
      </c>
      <c r="AE140" s="147" t="str">
        <f t="shared" si="13"/>
        <v/>
      </c>
      <c r="AF140" s="147"/>
      <c r="AG140" s="146"/>
      <c r="AH140" s="147"/>
      <c r="AI140" s="146"/>
      <c r="AJ140" s="145" t="str">
        <f t="shared" si="14"/>
        <v/>
      </c>
      <c r="AK140" s="145" t="str">
        <f t="shared" si="15"/>
        <v/>
      </c>
    </row>
    <row r="141" spans="2:37" ht="21" x14ac:dyDescent="0.35">
      <c r="B141" s="146"/>
      <c r="C141" s="146"/>
      <c r="D141" s="146"/>
      <c r="E141" s="146"/>
      <c r="F141" s="146"/>
      <c r="G141" s="146"/>
      <c r="H141" s="146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6"/>
      <c r="AA141" s="146"/>
      <c r="AB141" s="146"/>
      <c r="AC141" s="146"/>
      <c r="AD141" s="147" t="str">
        <f t="shared" si="12"/>
        <v/>
      </c>
      <c r="AE141" s="147" t="str">
        <f t="shared" si="13"/>
        <v/>
      </c>
      <c r="AF141" s="147"/>
      <c r="AG141" s="146"/>
      <c r="AH141" s="147"/>
      <c r="AI141" s="146"/>
      <c r="AJ141" s="145" t="str">
        <f t="shared" si="14"/>
        <v/>
      </c>
      <c r="AK141" s="145" t="str">
        <f t="shared" si="15"/>
        <v/>
      </c>
    </row>
    <row r="142" spans="2:37" ht="21" x14ac:dyDescent="0.35">
      <c r="B142" s="146"/>
      <c r="C142" s="146"/>
      <c r="D142" s="146"/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6"/>
      <c r="AA142" s="146"/>
      <c r="AB142" s="146"/>
      <c r="AC142" s="146"/>
      <c r="AD142" s="147" t="str">
        <f t="shared" si="12"/>
        <v/>
      </c>
      <c r="AE142" s="147" t="str">
        <f t="shared" si="13"/>
        <v/>
      </c>
      <c r="AF142" s="147"/>
      <c r="AG142" s="146"/>
      <c r="AH142" s="147"/>
      <c r="AI142" s="146"/>
      <c r="AJ142" s="145" t="str">
        <f t="shared" si="14"/>
        <v/>
      </c>
      <c r="AK142" s="145" t="str">
        <f t="shared" si="15"/>
        <v/>
      </c>
    </row>
    <row r="143" spans="2:37" ht="21" x14ac:dyDescent="0.35">
      <c r="B143" s="146"/>
      <c r="C143" s="146"/>
      <c r="D143" s="146"/>
      <c r="E143" s="146"/>
      <c r="F143" s="146"/>
      <c r="G143" s="146"/>
      <c r="H143" s="146"/>
      <c r="I143" s="146"/>
      <c r="J143" s="146"/>
      <c r="K143" s="146"/>
      <c r="L143" s="146"/>
      <c r="M143" s="146"/>
      <c r="N143" s="146"/>
      <c r="O143" s="146"/>
      <c r="P143" s="146"/>
      <c r="Q143" s="146"/>
      <c r="R143" s="146"/>
      <c r="S143" s="146"/>
      <c r="T143" s="146"/>
      <c r="U143" s="146"/>
      <c r="V143" s="146"/>
      <c r="W143" s="146"/>
      <c r="X143" s="146"/>
      <c r="Y143" s="146"/>
      <c r="Z143" s="146"/>
      <c r="AA143" s="146"/>
      <c r="AB143" s="146"/>
      <c r="AC143" s="146"/>
      <c r="AD143" s="147" t="str">
        <f t="shared" si="12"/>
        <v/>
      </c>
      <c r="AE143" s="147" t="str">
        <f t="shared" si="13"/>
        <v/>
      </c>
      <c r="AF143" s="147"/>
      <c r="AG143" s="146"/>
      <c r="AH143" s="147"/>
      <c r="AI143" s="146"/>
      <c r="AJ143" s="145" t="str">
        <f t="shared" si="14"/>
        <v/>
      </c>
      <c r="AK143" s="145" t="str">
        <f t="shared" si="15"/>
        <v/>
      </c>
    </row>
    <row r="144" spans="2:37" ht="21" x14ac:dyDescent="0.35">
      <c r="B144" s="146"/>
      <c r="C144" s="146"/>
      <c r="D144" s="146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146"/>
      <c r="W144" s="146"/>
      <c r="X144" s="146"/>
      <c r="Y144" s="146"/>
      <c r="Z144" s="146"/>
      <c r="AA144" s="146"/>
      <c r="AB144" s="146"/>
      <c r="AC144" s="146"/>
      <c r="AD144" s="147" t="str">
        <f t="shared" si="12"/>
        <v/>
      </c>
      <c r="AE144" s="147" t="str">
        <f t="shared" si="13"/>
        <v/>
      </c>
      <c r="AF144" s="147"/>
      <c r="AG144" s="146"/>
      <c r="AH144" s="147"/>
      <c r="AI144" s="146"/>
      <c r="AJ144" s="145" t="str">
        <f t="shared" si="14"/>
        <v/>
      </c>
      <c r="AK144" s="145" t="str">
        <f t="shared" si="15"/>
        <v/>
      </c>
    </row>
    <row r="145" spans="2:37" ht="21" x14ac:dyDescent="0.35">
      <c r="B145" s="146"/>
      <c r="C145" s="146"/>
      <c r="D145" s="146"/>
      <c r="E145" s="146"/>
      <c r="F145" s="146"/>
      <c r="G145" s="146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  <c r="Z145" s="146"/>
      <c r="AA145" s="146"/>
      <c r="AB145" s="146"/>
      <c r="AC145" s="146"/>
      <c r="AD145" s="147" t="str">
        <f t="shared" si="12"/>
        <v/>
      </c>
      <c r="AE145" s="147" t="str">
        <f t="shared" si="13"/>
        <v/>
      </c>
      <c r="AF145" s="147"/>
      <c r="AG145" s="146"/>
      <c r="AH145" s="147"/>
      <c r="AI145" s="146"/>
      <c r="AJ145" s="145" t="str">
        <f t="shared" si="14"/>
        <v/>
      </c>
      <c r="AK145" s="145" t="str">
        <f t="shared" si="15"/>
        <v/>
      </c>
    </row>
    <row r="146" spans="2:37" ht="21" x14ac:dyDescent="0.35">
      <c r="B146" s="146"/>
      <c r="C146" s="146"/>
      <c r="D146" s="146"/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146"/>
      <c r="W146" s="146"/>
      <c r="X146" s="146"/>
      <c r="Y146" s="146"/>
      <c r="Z146" s="146"/>
      <c r="AA146" s="146"/>
      <c r="AB146" s="146"/>
      <c r="AC146" s="146"/>
      <c r="AD146" s="147" t="str">
        <f t="shared" si="12"/>
        <v/>
      </c>
      <c r="AE146" s="147" t="str">
        <f t="shared" si="13"/>
        <v/>
      </c>
      <c r="AF146" s="147"/>
      <c r="AG146" s="146"/>
      <c r="AH146" s="147"/>
      <c r="AI146" s="146"/>
      <c r="AJ146" s="145" t="str">
        <f t="shared" si="14"/>
        <v/>
      </c>
      <c r="AK146" s="145" t="str">
        <f t="shared" si="15"/>
        <v/>
      </c>
    </row>
    <row r="147" spans="2:37" ht="21" x14ac:dyDescent="0.35">
      <c r="B147" s="146"/>
      <c r="C147" s="146"/>
      <c r="D147" s="146"/>
      <c r="E147" s="146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6"/>
      <c r="AA147" s="146"/>
      <c r="AB147" s="146"/>
      <c r="AC147" s="146"/>
      <c r="AD147" s="147" t="str">
        <f t="shared" si="12"/>
        <v/>
      </c>
      <c r="AE147" s="147" t="str">
        <f t="shared" si="13"/>
        <v/>
      </c>
      <c r="AF147" s="147"/>
      <c r="AG147" s="146"/>
      <c r="AH147" s="147"/>
      <c r="AI147" s="146"/>
      <c r="AJ147" s="145" t="str">
        <f t="shared" si="14"/>
        <v/>
      </c>
      <c r="AK147" s="145" t="str">
        <f t="shared" si="15"/>
        <v/>
      </c>
    </row>
    <row r="148" spans="2:37" ht="21" x14ac:dyDescent="0.35">
      <c r="B148" s="146"/>
      <c r="C148" s="146"/>
      <c r="D148" s="146"/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  <c r="Z148" s="146"/>
      <c r="AA148" s="146"/>
      <c r="AB148" s="146"/>
      <c r="AC148" s="146"/>
      <c r="AD148" s="147" t="str">
        <f t="shared" si="12"/>
        <v/>
      </c>
      <c r="AE148" s="147" t="str">
        <f t="shared" si="13"/>
        <v/>
      </c>
      <c r="AF148" s="147"/>
      <c r="AG148" s="146"/>
      <c r="AH148" s="147"/>
      <c r="AI148" s="146"/>
      <c r="AJ148" s="145" t="str">
        <f t="shared" si="14"/>
        <v/>
      </c>
      <c r="AK148" s="145" t="str">
        <f t="shared" si="15"/>
        <v/>
      </c>
    </row>
    <row r="149" spans="2:37" ht="21" x14ac:dyDescent="0.35">
      <c r="B149" s="146"/>
      <c r="C149" s="146"/>
      <c r="D149" s="146"/>
      <c r="E149" s="146"/>
      <c r="F149" s="146"/>
      <c r="G149" s="146"/>
      <c r="H149" s="146"/>
      <c r="I149" s="146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6"/>
      <c r="AA149" s="146"/>
      <c r="AB149" s="146"/>
      <c r="AC149" s="146"/>
      <c r="AD149" s="147" t="str">
        <f t="shared" si="12"/>
        <v/>
      </c>
      <c r="AE149" s="147" t="str">
        <f t="shared" si="13"/>
        <v/>
      </c>
      <c r="AF149" s="147"/>
      <c r="AG149" s="146"/>
      <c r="AH149" s="147"/>
      <c r="AI149" s="146"/>
      <c r="AJ149" s="145" t="str">
        <f t="shared" si="14"/>
        <v/>
      </c>
      <c r="AK149" s="145" t="str">
        <f t="shared" si="15"/>
        <v/>
      </c>
    </row>
    <row r="150" spans="2:37" ht="21" x14ac:dyDescent="0.35">
      <c r="B150" s="146"/>
      <c r="C150" s="146"/>
      <c r="D150" s="146"/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6"/>
      <c r="AA150" s="146"/>
      <c r="AB150" s="146"/>
      <c r="AC150" s="146"/>
      <c r="AD150" s="147" t="str">
        <f t="shared" si="12"/>
        <v/>
      </c>
      <c r="AE150" s="147" t="str">
        <f t="shared" si="13"/>
        <v/>
      </c>
      <c r="AF150" s="147"/>
      <c r="AG150" s="146"/>
      <c r="AH150" s="147"/>
      <c r="AI150" s="146"/>
      <c r="AJ150" s="145" t="str">
        <f t="shared" si="14"/>
        <v/>
      </c>
      <c r="AK150" s="145" t="str">
        <f t="shared" si="15"/>
        <v/>
      </c>
    </row>
    <row r="151" spans="2:37" ht="21" x14ac:dyDescent="0.35">
      <c r="B151" s="146"/>
      <c r="C151" s="146"/>
      <c r="D151" s="146"/>
      <c r="E151" s="146"/>
      <c r="F151" s="146"/>
      <c r="G151" s="146"/>
      <c r="H151" s="146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6"/>
      <c r="AA151" s="146"/>
      <c r="AB151" s="146"/>
      <c r="AC151" s="146"/>
      <c r="AD151" s="147" t="str">
        <f t="shared" si="12"/>
        <v/>
      </c>
      <c r="AE151" s="147" t="str">
        <f t="shared" si="13"/>
        <v/>
      </c>
      <c r="AF151" s="147"/>
      <c r="AG151" s="146"/>
      <c r="AH151" s="147"/>
      <c r="AI151" s="146"/>
      <c r="AJ151" s="145" t="str">
        <f t="shared" si="14"/>
        <v/>
      </c>
      <c r="AK151" s="145" t="str">
        <f t="shared" si="15"/>
        <v/>
      </c>
    </row>
    <row r="152" spans="2:37" ht="21" x14ac:dyDescent="0.35">
      <c r="B152" s="146"/>
      <c r="C152" s="146"/>
      <c r="D152" s="146"/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  <c r="AD152" s="147" t="str">
        <f t="shared" si="12"/>
        <v/>
      </c>
      <c r="AE152" s="147" t="str">
        <f t="shared" si="13"/>
        <v/>
      </c>
      <c r="AF152" s="147"/>
      <c r="AG152" s="146"/>
      <c r="AH152" s="147"/>
      <c r="AI152" s="146"/>
      <c r="AJ152" s="145" t="str">
        <f t="shared" si="14"/>
        <v/>
      </c>
      <c r="AK152" s="145" t="str">
        <f t="shared" si="15"/>
        <v/>
      </c>
    </row>
    <row r="153" spans="2:37" ht="21" x14ac:dyDescent="0.35">
      <c r="B153" s="146"/>
      <c r="C153" s="146"/>
      <c r="D153" s="146"/>
      <c r="E153" s="146"/>
      <c r="F153" s="146"/>
      <c r="G153" s="146"/>
      <c r="H153" s="146"/>
      <c r="I153" s="146"/>
      <c r="J153" s="146"/>
      <c r="K153" s="146"/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6"/>
      <c r="AA153" s="146"/>
      <c r="AB153" s="146"/>
      <c r="AC153" s="146"/>
      <c r="AD153" s="147" t="str">
        <f t="shared" si="12"/>
        <v/>
      </c>
      <c r="AE153" s="147" t="str">
        <f t="shared" si="13"/>
        <v/>
      </c>
      <c r="AF153" s="147"/>
      <c r="AG153" s="146"/>
      <c r="AH153" s="147"/>
      <c r="AI153" s="146"/>
      <c r="AJ153" s="145" t="str">
        <f t="shared" si="14"/>
        <v/>
      </c>
      <c r="AK153" s="145" t="str">
        <f t="shared" si="15"/>
        <v/>
      </c>
    </row>
    <row r="154" spans="2:37" ht="21" x14ac:dyDescent="0.35">
      <c r="B154" s="146"/>
      <c r="C154" s="146"/>
      <c r="D154" s="146"/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6"/>
      <c r="AA154" s="146"/>
      <c r="AB154" s="146"/>
      <c r="AC154" s="146"/>
      <c r="AD154" s="147" t="str">
        <f t="shared" si="12"/>
        <v/>
      </c>
      <c r="AE154" s="147" t="str">
        <f t="shared" si="13"/>
        <v/>
      </c>
      <c r="AF154" s="147"/>
      <c r="AG154" s="146"/>
      <c r="AH154" s="147"/>
      <c r="AI154" s="146"/>
      <c r="AJ154" s="145" t="str">
        <f t="shared" si="14"/>
        <v/>
      </c>
      <c r="AK154" s="145" t="str">
        <f t="shared" si="15"/>
        <v/>
      </c>
    </row>
    <row r="155" spans="2:37" ht="21" x14ac:dyDescent="0.35">
      <c r="B155" s="146"/>
      <c r="C155" s="146"/>
      <c r="D155" s="146"/>
      <c r="E155" s="146"/>
      <c r="F155" s="146"/>
      <c r="G155" s="146"/>
      <c r="H155" s="146"/>
      <c r="I155" s="146"/>
      <c r="J155" s="146"/>
      <c r="K155" s="146"/>
      <c r="L155" s="146"/>
      <c r="M155" s="146"/>
      <c r="N155" s="146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6"/>
      <c r="AA155" s="146"/>
      <c r="AB155" s="146"/>
      <c r="AC155" s="146"/>
      <c r="AD155" s="147" t="str">
        <f t="shared" si="12"/>
        <v/>
      </c>
      <c r="AE155" s="147" t="str">
        <f t="shared" si="13"/>
        <v/>
      </c>
      <c r="AF155" s="147"/>
      <c r="AG155" s="146"/>
      <c r="AH155" s="147"/>
      <c r="AI155" s="146"/>
      <c r="AJ155" s="145" t="str">
        <f t="shared" si="14"/>
        <v/>
      </c>
      <c r="AK155" s="145" t="str">
        <f t="shared" si="15"/>
        <v/>
      </c>
    </row>
    <row r="156" spans="2:37" ht="21" x14ac:dyDescent="0.35">
      <c r="B156" s="146"/>
      <c r="C156" s="146"/>
      <c r="D156" s="146"/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6"/>
      <c r="AA156" s="146"/>
      <c r="AB156" s="146"/>
      <c r="AC156" s="146"/>
      <c r="AD156" s="147" t="str">
        <f t="shared" si="12"/>
        <v/>
      </c>
      <c r="AE156" s="147" t="str">
        <f t="shared" si="13"/>
        <v/>
      </c>
      <c r="AF156" s="147"/>
      <c r="AG156" s="146"/>
      <c r="AH156" s="147"/>
      <c r="AI156" s="146"/>
      <c r="AJ156" s="145" t="str">
        <f t="shared" si="14"/>
        <v/>
      </c>
      <c r="AK156" s="145" t="str">
        <f t="shared" si="15"/>
        <v/>
      </c>
    </row>
    <row r="157" spans="2:37" ht="21" x14ac:dyDescent="0.35">
      <c r="B157" s="146"/>
      <c r="C157" s="146"/>
      <c r="D157" s="146"/>
      <c r="E157" s="146"/>
      <c r="F157" s="146"/>
      <c r="G157" s="146"/>
      <c r="H157" s="146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6"/>
      <c r="AA157" s="146"/>
      <c r="AB157" s="146"/>
      <c r="AC157" s="146"/>
      <c r="AD157" s="147" t="str">
        <f t="shared" si="12"/>
        <v/>
      </c>
      <c r="AE157" s="147" t="str">
        <f t="shared" si="13"/>
        <v/>
      </c>
      <c r="AF157" s="147"/>
      <c r="AG157" s="146"/>
      <c r="AH157" s="147"/>
      <c r="AI157" s="146"/>
      <c r="AJ157" s="145" t="str">
        <f t="shared" si="14"/>
        <v/>
      </c>
      <c r="AK157" s="145" t="str">
        <f t="shared" si="15"/>
        <v/>
      </c>
    </row>
    <row r="158" spans="2:37" ht="21" x14ac:dyDescent="0.35">
      <c r="B158" s="146"/>
      <c r="C158" s="146"/>
      <c r="D158" s="146"/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  <c r="AD158" s="147" t="str">
        <f t="shared" si="12"/>
        <v/>
      </c>
      <c r="AE158" s="147" t="str">
        <f t="shared" si="13"/>
        <v/>
      </c>
      <c r="AF158" s="147"/>
      <c r="AG158" s="146"/>
      <c r="AH158" s="147"/>
      <c r="AI158" s="146"/>
      <c r="AJ158" s="145" t="str">
        <f t="shared" si="14"/>
        <v/>
      </c>
      <c r="AK158" s="145" t="str">
        <f t="shared" si="15"/>
        <v/>
      </c>
    </row>
    <row r="159" spans="2:37" ht="21" x14ac:dyDescent="0.35">
      <c r="B159" s="146"/>
      <c r="C159" s="146"/>
      <c r="D159" s="146"/>
      <c r="E159" s="146"/>
      <c r="F159" s="146"/>
      <c r="G159" s="146"/>
      <c r="H159" s="146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6"/>
      <c r="AA159" s="146"/>
      <c r="AB159" s="146"/>
      <c r="AC159" s="146"/>
      <c r="AD159" s="147" t="str">
        <f t="shared" si="12"/>
        <v/>
      </c>
      <c r="AE159" s="147" t="str">
        <f t="shared" si="13"/>
        <v/>
      </c>
      <c r="AF159" s="147"/>
      <c r="AG159" s="146"/>
      <c r="AH159" s="147"/>
      <c r="AI159" s="146"/>
      <c r="AJ159" s="145" t="str">
        <f t="shared" si="14"/>
        <v/>
      </c>
      <c r="AK159" s="145" t="str">
        <f t="shared" si="15"/>
        <v/>
      </c>
    </row>
    <row r="160" spans="2:37" ht="21" x14ac:dyDescent="0.35">
      <c r="B160" s="146"/>
      <c r="C160" s="146"/>
      <c r="D160" s="146"/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6"/>
      <c r="AA160" s="146"/>
      <c r="AB160" s="146"/>
      <c r="AC160" s="146"/>
      <c r="AD160" s="147" t="str">
        <f t="shared" si="12"/>
        <v/>
      </c>
      <c r="AE160" s="147" t="str">
        <f t="shared" si="13"/>
        <v/>
      </c>
      <c r="AF160" s="147"/>
      <c r="AG160" s="146"/>
      <c r="AH160" s="147"/>
      <c r="AI160" s="146"/>
      <c r="AJ160" s="145" t="str">
        <f t="shared" si="14"/>
        <v/>
      </c>
      <c r="AK160" s="145" t="str">
        <f t="shared" si="15"/>
        <v/>
      </c>
    </row>
    <row r="161" spans="2:37" ht="21" x14ac:dyDescent="0.35">
      <c r="B161" s="146"/>
      <c r="C161" s="146"/>
      <c r="D161" s="146"/>
      <c r="E161" s="146"/>
      <c r="F161" s="146"/>
      <c r="G161" s="146"/>
      <c r="H161" s="146"/>
      <c r="I161" s="146"/>
      <c r="J161" s="146"/>
      <c r="K161" s="146"/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6"/>
      <c r="AA161" s="146"/>
      <c r="AB161" s="146"/>
      <c r="AC161" s="146"/>
      <c r="AD161" s="147" t="str">
        <f t="shared" si="12"/>
        <v/>
      </c>
      <c r="AE161" s="147" t="str">
        <f t="shared" si="13"/>
        <v/>
      </c>
      <c r="AF161" s="147"/>
      <c r="AG161" s="146"/>
      <c r="AH161" s="147"/>
      <c r="AI161" s="146"/>
      <c r="AJ161" s="145" t="str">
        <f t="shared" si="14"/>
        <v/>
      </c>
      <c r="AK161" s="145" t="str">
        <f t="shared" si="15"/>
        <v/>
      </c>
    </row>
    <row r="162" spans="2:37" ht="21" x14ac:dyDescent="0.35">
      <c r="B162" s="146"/>
      <c r="C162" s="146"/>
      <c r="D162" s="146"/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6"/>
      <c r="AA162" s="146"/>
      <c r="AB162" s="146"/>
      <c r="AC162" s="146"/>
      <c r="AD162" s="147" t="str">
        <f t="shared" si="12"/>
        <v/>
      </c>
      <c r="AE162" s="147" t="str">
        <f t="shared" si="13"/>
        <v/>
      </c>
      <c r="AF162" s="147"/>
      <c r="AG162" s="146"/>
      <c r="AH162" s="147"/>
      <c r="AI162" s="146"/>
      <c r="AJ162" s="145" t="str">
        <f t="shared" si="14"/>
        <v/>
      </c>
      <c r="AK162" s="145" t="str">
        <f t="shared" si="15"/>
        <v/>
      </c>
    </row>
    <row r="163" spans="2:37" ht="21" x14ac:dyDescent="0.35">
      <c r="B163" s="146"/>
      <c r="C163" s="146"/>
      <c r="D163" s="146"/>
      <c r="E163" s="146"/>
      <c r="F163" s="146"/>
      <c r="G163" s="146"/>
      <c r="H163" s="146"/>
      <c r="I163" s="146"/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6"/>
      <c r="AA163" s="146"/>
      <c r="AB163" s="146"/>
      <c r="AC163" s="146"/>
      <c r="AD163" s="147" t="str">
        <f t="shared" si="12"/>
        <v/>
      </c>
      <c r="AE163" s="147" t="str">
        <f t="shared" si="13"/>
        <v/>
      </c>
      <c r="AF163" s="147"/>
      <c r="AG163" s="146"/>
      <c r="AH163" s="147"/>
      <c r="AI163" s="146"/>
      <c r="AJ163" s="145" t="str">
        <f t="shared" si="14"/>
        <v/>
      </c>
      <c r="AK163" s="145" t="str">
        <f t="shared" si="15"/>
        <v/>
      </c>
    </row>
    <row r="164" spans="2:37" ht="21" x14ac:dyDescent="0.35">
      <c r="B164" s="146"/>
      <c r="C164" s="146"/>
      <c r="D164" s="146"/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6"/>
      <c r="AA164" s="146"/>
      <c r="AB164" s="146"/>
      <c r="AC164" s="146"/>
      <c r="AD164" s="147" t="str">
        <f t="shared" si="12"/>
        <v/>
      </c>
      <c r="AE164" s="147" t="str">
        <f t="shared" si="13"/>
        <v/>
      </c>
      <c r="AF164" s="147"/>
      <c r="AG164" s="146"/>
      <c r="AH164" s="147"/>
      <c r="AI164" s="146"/>
      <c r="AJ164" s="145" t="str">
        <f t="shared" si="14"/>
        <v/>
      </c>
      <c r="AK164" s="145" t="str">
        <f t="shared" si="15"/>
        <v/>
      </c>
    </row>
    <row r="165" spans="2:37" ht="21" x14ac:dyDescent="0.35">
      <c r="B165" s="146"/>
      <c r="C165" s="146"/>
      <c r="D165" s="146"/>
      <c r="E165" s="146"/>
      <c r="F165" s="146"/>
      <c r="G165" s="146"/>
      <c r="H165" s="146"/>
      <c r="I165" s="146"/>
      <c r="J165" s="146"/>
      <c r="K165" s="146"/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6"/>
      <c r="AA165" s="146"/>
      <c r="AB165" s="146"/>
      <c r="AC165" s="146"/>
      <c r="AD165" s="147" t="str">
        <f t="shared" si="12"/>
        <v/>
      </c>
      <c r="AE165" s="147" t="str">
        <f t="shared" si="13"/>
        <v/>
      </c>
      <c r="AF165" s="147"/>
      <c r="AG165" s="146"/>
      <c r="AH165" s="147"/>
      <c r="AI165" s="146"/>
      <c r="AJ165" s="145" t="str">
        <f t="shared" si="14"/>
        <v/>
      </c>
      <c r="AK165" s="145" t="str">
        <f t="shared" si="15"/>
        <v/>
      </c>
    </row>
    <row r="166" spans="2:37" ht="21" x14ac:dyDescent="0.35">
      <c r="B166" s="146"/>
      <c r="C166" s="146"/>
      <c r="D166" s="146"/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6"/>
      <c r="AA166" s="146"/>
      <c r="AB166" s="146"/>
      <c r="AC166" s="146"/>
      <c r="AD166" s="147" t="str">
        <f t="shared" si="12"/>
        <v/>
      </c>
      <c r="AE166" s="147" t="str">
        <f t="shared" si="13"/>
        <v/>
      </c>
      <c r="AF166" s="147"/>
      <c r="AG166" s="146"/>
      <c r="AH166" s="147"/>
      <c r="AI166" s="146"/>
      <c r="AJ166" s="145" t="str">
        <f t="shared" si="14"/>
        <v/>
      </c>
      <c r="AK166" s="145" t="str">
        <f t="shared" si="15"/>
        <v/>
      </c>
    </row>
    <row r="167" spans="2:37" ht="21" x14ac:dyDescent="0.35">
      <c r="B167" s="146"/>
      <c r="C167" s="146"/>
      <c r="D167" s="146"/>
      <c r="E167" s="146"/>
      <c r="F167" s="146"/>
      <c r="G167" s="146"/>
      <c r="H167" s="146"/>
      <c r="I167" s="146"/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6"/>
      <c r="AA167" s="146"/>
      <c r="AB167" s="146"/>
      <c r="AC167" s="146"/>
      <c r="AD167" s="147" t="str">
        <f t="shared" si="12"/>
        <v/>
      </c>
      <c r="AE167" s="147" t="str">
        <f t="shared" si="13"/>
        <v/>
      </c>
      <c r="AF167" s="147"/>
      <c r="AG167" s="146"/>
      <c r="AH167" s="147"/>
      <c r="AI167" s="146"/>
      <c r="AJ167" s="145" t="str">
        <f t="shared" si="14"/>
        <v/>
      </c>
      <c r="AK167" s="145" t="str">
        <f t="shared" si="15"/>
        <v/>
      </c>
    </row>
    <row r="168" spans="2:37" ht="21" x14ac:dyDescent="0.35">
      <c r="B168" s="146"/>
      <c r="C168" s="146"/>
      <c r="D168" s="146"/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6"/>
      <c r="AA168" s="146"/>
      <c r="AB168" s="146"/>
      <c r="AC168" s="146"/>
      <c r="AD168" s="147" t="str">
        <f t="shared" si="12"/>
        <v/>
      </c>
      <c r="AE168" s="147" t="str">
        <f t="shared" si="13"/>
        <v/>
      </c>
      <c r="AF168" s="147"/>
      <c r="AG168" s="146"/>
      <c r="AH168" s="147"/>
      <c r="AI168" s="146"/>
      <c r="AJ168" s="145" t="str">
        <f t="shared" si="14"/>
        <v/>
      </c>
      <c r="AK168" s="145" t="str">
        <f t="shared" si="15"/>
        <v/>
      </c>
    </row>
    <row r="169" spans="2:37" ht="21" x14ac:dyDescent="0.35">
      <c r="B169" s="146"/>
      <c r="C169" s="146"/>
      <c r="D169" s="146"/>
      <c r="E169" s="146"/>
      <c r="F169" s="146"/>
      <c r="G169" s="146"/>
      <c r="H169" s="146"/>
      <c r="I169" s="146"/>
      <c r="J169" s="146"/>
      <c r="K169" s="146"/>
      <c r="L169" s="146"/>
      <c r="M169" s="146"/>
      <c r="N169" s="146"/>
      <c r="O169" s="14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6"/>
      <c r="AA169" s="146"/>
      <c r="AB169" s="146"/>
      <c r="AC169" s="146"/>
      <c r="AD169" s="147" t="str">
        <f t="shared" si="12"/>
        <v/>
      </c>
      <c r="AE169" s="147" t="str">
        <f t="shared" si="13"/>
        <v/>
      </c>
      <c r="AF169" s="147"/>
      <c r="AG169" s="146"/>
      <c r="AH169" s="147"/>
      <c r="AI169" s="146"/>
      <c r="AJ169" s="145" t="str">
        <f t="shared" si="14"/>
        <v/>
      </c>
      <c r="AK169" s="145" t="str">
        <f t="shared" si="15"/>
        <v/>
      </c>
    </row>
    <row r="170" spans="2:37" ht="21" x14ac:dyDescent="0.35">
      <c r="B170" s="146"/>
      <c r="C170" s="146"/>
      <c r="D170" s="146"/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6"/>
      <c r="AA170" s="146"/>
      <c r="AB170" s="146"/>
      <c r="AC170" s="146"/>
      <c r="AD170" s="147" t="str">
        <f t="shared" si="12"/>
        <v/>
      </c>
      <c r="AE170" s="147" t="str">
        <f t="shared" si="13"/>
        <v/>
      </c>
      <c r="AF170" s="147"/>
      <c r="AG170" s="146"/>
      <c r="AH170" s="147"/>
      <c r="AI170" s="146"/>
      <c r="AJ170" s="145" t="str">
        <f t="shared" si="14"/>
        <v/>
      </c>
      <c r="AK170" s="145" t="str">
        <f t="shared" si="15"/>
        <v/>
      </c>
    </row>
    <row r="171" spans="2:37" ht="21" x14ac:dyDescent="0.35">
      <c r="B171" s="146"/>
      <c r="C171" s="146"/>
      <c r="D171" s="146"/>
      <c r="E171" s="146"/>
      <c r="F171" s="146"/>
      <c r="G171" s="146"/>
      <c r="H171" s="146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6"/>
      <c r="AA171" s="146"/>
      <c r="AB171" s="146"/>
      <c r="AC171" s="146"/>
      <c r="AD171" s="147" t="str">
        <f t="shared" si="12"/>
        <v/>
      </c>
      <c r="AE171" s="147" t="str">
        <f t="shared" si="13"/>
        <v/>
      </c>
      <c r="AF171" s="147"/>
      <c r="AG171" s="146"/>
      <c r="AH171" s="147"/>
      <c r="AI171" s="146"/>
      <c r="AJ171" s="145" t="str">
        <f t="shared" si="14"/>
        <v/>
      </c>
      <c r="AK171" s="145" t="str">
        <f t="shared" si="15"/>
        <v/>
      </c>
    </row>
    <row r="172" spans="2:37" ht="21" x14ac:dyDescent="0.35">
      <c r="B172" s="146"/>
      <c r="C172" s="146"/>
      <c r="D172" s="146"/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6"/>
      <c r="AA172" s="146"/>
      <c r="AB172" s="146"/>
      <c r="AC172" s="146"/>
      <c r="AD172" s="147" t="str">
        <f t="shared" si="12"/>
        <v/>
      </c>
      <c r="AE172" s="147" t="str">
        <f t="shared" si="13"/>
        <v/>
      </c>
      <c r="AF172" s="147"/>
      <c r="AG172" s="146"/>
      <c r="AH172" s="147"/>
      <c r="AI172" s="146"/>
      <c r="AJ172" s="145" t="str">
        <f t="shared" si="14"/>
        <v/>
      </c>
      <c r="AK172" s="145" t="str">
        <f t="shared" si="15"/>
        <v/>
      </c>
    </row>
    <row r="173" spans="2:37" ht="21" x14ac:dyDescent="0.35">
      <c r="B173" s="146"/>
      <c r="C173" s="146"/>
      <c r="D173" s="146"/>
      <c r="E173" s="146"/>
      <c r="F173" s="146"/>
      <c r="G173" s="146"/>
      <c r="H173" s="146"/>
      <c r="I173" s="146"/>
      <c r="J173" s="146"/>
      <c r="K173" s="146"/>
      <c r="L173" s="146"/>
      <c r="M173" s="146"/>
      <c r="N173" s="146"/>
      <c r="O173" s="146"/>
      <c r="P173" s="146"/>
      <c r="Q173" s="146"/>
      <c r="R173" s="146"/>
      <c r="S173" s="146"/>
      <c r="T173" s="146"/>
      <c r="U173" s="146"/>
      <c r="V173" s="146"/>
      <c r="W173" s="146"/>
      <c r="X173" s="146"/>
      <c r="Y173" s="146"/>
      <c r="Z173" s="146"/>
      <c r="AA173" s="146"/>
      <c r="AB173" s="146"/>
      <c r="AC173" s="146"/>
      <c r="AD173" s="147" t="str">
        <f t="shared" si="12"/>
        <v/>
      </c>
      <c r="AE173" s="147" t="str">
        <f t="shared" si="13"/>
        <v/>
      </c>
      <c r="AF173" s="147"/>
      <c r="AG173" s="146"/>
      <c r="AH173" s="147"/>
      <c r="AI173" s="146"/>
      <c r="AJ173" s="145" t="str">
        <f t="shared" si="14"/>
        <v/>
      </c>
      <c r="AK173" s="145" t="str">
        <f t="shared" si="15"/>
        <v/>
      </c>
    </row>
    <row r="174" spans="2:37" ht="21" x14ac:dyDescent="0.35">
      <c r="B174" s="146"/>
      <c r="C174" s="146"/>
      <c r="D174" s="146"/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146"/>
      <c r="W174" s="146"/>
      <c r="X174" s="146"/>
      <c r="Y174" s="146"/>
      <c r="Z174" s="146"/>
      <c r="AA174" s="146"/>
      <c r="AB174" s="146"/>
      <c r="AC174" s="146"/>
      <c r="AD174" s="147" t="str">
        <f t="shared" si="12"/>
        <v/>
      </c>
      <c r="AE174" s="147" t="str">
        <f t="shared" si="13"/>
        <v/>
      </c>
      <c r="AF174" s="147"/>
      <c r="AG174" s="146"/>
      <c r="AH174" s="147"/>
      <c r="AI174" s="146"/>
      <c r="AJ174" s="145" t="str">
        <f t="shared" si="14"/>
        <v/>
      </c>
      <c r="AK174" s="145" t="str">
        <f t="shared" si="15"/>
        <v/>
      </c>
    </row>
    <row r="175" spans="2:37" ht="21" x14ac:dyDescent="0.35">
      <c r="B175" s="146"/>
      <c r="C175" s="146"/>
      <c r="D175" s="146"/>
      <c r="E175" s="146"/>
      <c r="F175" s="146"/>
      <c r="G175" s="146"/>
      <c r="H175" s="146"/>
      <c r="I175" s="146"/>
      <c r="J175" s="146"/>
      <c r="K175" s="146"/>
      <c r="L175" s="146"/>
      <c r="M175" s="146"/>
      <c r="N175" s="146"/>
      <c r="O175" s="146"/>
      <c r="P175" s="146"/>
      <c r="Q175" s="146"/>
      <c r="R175" s="146"/>
      <c r="S175" s="146"/>
      <c r="T175" s="146"/>
      <c r="U175" s="146"/>
      <c r="V175" s="146"/>
      <c r="W175" s="146"/>
      <c r="X175" s="146"/>
      <c r="Y175" s="146"/>
      <c r="Z175" s="146"/>
      <c r="AA175" s="146"/>
      <c r="AB175" s="146"/>
      <c r="AC175" s="146"/>
      <c r="AD175" s="147" t="str">
        <f t="shared" si="12"/>
        <v/>
      </c>
      <c r="AE175" s="147" t="str">
        <f t="shared" si="13"/>
        <v/>
      </c>
      <c r="AF175" s="147"/>
      <c r="AG175" s="146"/>
      <c r="AH175" s="147"/>
      <c r="AI175" s="146"/>
      <c r="AJ175" s="145" t="str">
        <f t="shared" si="14"/>
        <v/>
      </c>
      <c r="AK175" s="145" t="str">
        <f t="shared" si="15"/>
        <v/>
      </c>
    </row>
    <row r="176" spans="2:37" ht="21" x14ac:dyDescent="0.35">
      <c r="B176" s="134"/>
      <c r="C176" s="135"/>
      <c r="D176" s="135"/>
      <c r="E176" s="135"/>
      <c r="F176" s="135"/>
      <c r="G176" s="135"/>
      <c r="H176" s="135"/>
      <c r="I176" s="135"/>
      <c r="J176" s="135"/>
      <c r="K176" s="135"/>
      <c r="L176" s="135"/>
      <c r="M176" s="135"/>
      <c r="N176" s="135"/>
      <c r="O176" s="135"/>
      <c r="P176" s="135"/>
      <c r="Q176" s="135"/>
      <c r="R176" s="135"/>
      <c r="S176" s="135"/>
      <c r="T176" s="135"/>
      <c r="U176" s="135"/>
      <c r="V176" s="135"/>
      <c r="W176" s="135"/>
      <c r="X176" s="135"/>
      <c r="Y176" s="135"/>
      <c r="Z176" s="135"/>
      <c r="AA176" s="135"/>
      <c r="AB176" s="135"/>
      <c r="AC176" s="135"/>
      <c r="AD176" s="136" t="str">
        <f t="shared" si="12"/>
        <v/>
      </c>
      <c r="AE176" s="136" t="str">
        <f t="shared" si="13"/>
        <v/>
      </c>
      <c r="AF176" s="136"/>
      <c r="AG176" s="135"/>
      <c r="AH176" s="136"/>
      <c r="AI176" s="135"/>
      <c r="AJ176" s="137" t="str">
        <f t="shared" si="14"/>
        <v/>
      </c>
      <c r="AK176" s="138" t="str">
        <f t="shared" si="15"/>
        <v/>
      </c>
    </row>
    <row r="177" spans="2:37" ht="21" x14ac:dyDescent="0.35">
      <c r="B177" s="134"/>
      <c r="C177" s="135"/>
      <c r="D177" s="135"/>
      <c r="E177" s="135"/>
      <c r="F177" s="135"/>
      <c r="G177" s="135"/>
      <c r="H177" s="135"/>
      <c r="I177" s="135"/>
      <c r="J177" s="135"/>
      <c r="K177" s="135"/>
      <c r="L177" s="135"/>
      <c r="M177" s="135"/>
      <c r="N177" s="135"/>
      <c r="O177" s="135"/>
      <c r="P177" s="135"/>
      <c r="Q177" s="135"/>
      <c r="R177" s="135"/>
      <c r="S177" s="135"/>
      <c r="T177" s="135"/>
      <c r="U177" s="135"/>
      <c r="V177" s="135"/>
      <c r="W177" s="135"/>
      <c r="X177" s="135"/>
      <c r="Y177" s="135"/>
      <c r="Z177" s="135"/>
      <c r="AA177" s="135"/>
      <c r="AB177" s="135"/>
      <c r="AC177" s="135"/>
      <c r="AD177" s="136" t="str">
        <f t="shared" si="12"/>
        <v/>
      </c>
      <c r="AE177" s="136" t="str">
        <f t="shared" si="13"/>
        <v/>
      </c>
      <c r="AF177" s="136"/>
      <c r="AG177" s="135"/>
      <c r="AH177" s="136"/>
      <c r="AI177" s="135"/>
      <c r="AJ177" s="137" t="str">
        <f t="shared" si="14"/>
        <v/>
      </c>
      <c r="AK177" s="138" t="str">
        <f t="shared" si="15"/>
        <v/>
      </c>
    </row>
    <row r="178" spans="2:37" ht="21" x14ac:dyDescent="0.35">
      <c r="B178" s="134"/>
      <c r="C178" s="135"/>
      <c r="D178" s="135"/>
      <c r="E178" s="135"/>
      <c r="F178" s="135"/>
      <c r="G178" s="135"/>
      <c r="H178" s="135"/>
      <c r="I178" s="135"/>
      <c r="J178" s="135"/>
      <c r="K178" s="135"/>
      <c r="L178" s="135"/>
      <c r="M178" s="135"/>
      <c r="N178" s="135"/>
      <c r="O178" s="135"/>
      <c r="P178" s="135"/>
      <c r="Q178" s="135"/>
      <c r="R178" s="135"/>
      <c r="S178" s="135"/>
      <c r="T178" s="135"/>
      <c r="U178" s="135"/>
      <c r="V178" s="135"/>
      <c r="W178" s="135"/>
      <c r="X178" s="135"/>
      <c r="Y178" s="135"/>
      <c r="Z178" s="135"/>
      <c r="AA178" s="135"/>
      <c r="AB178" s="135"/>
      <c r="AC178" s="135"/>
      <c r="AD178" s="136" t="str">
        <f t="shared" si="12"/>
        <v/>
      </c>
      <c r="AE178" s="136" t="str">
        <f t="shared" si="13"/>
        <v/>
      </c>
      <c r="AF178" s="136"/>
      <c r="AG178" s="135"/>
      <c r="AH178" s="136"/>
      <c r="AI178" s="135"/>
      <c r="AJ178" s="137" t="str">
        <f t="shared" si="14"/>
        <v/>
      </c>
      <c r="AK178" s="138" t="str">
        <f t="shared" si="15"/>
        <v/>
      </c>
    </row>
    <row r="179" spans="2:37" ht="21" x14ac:dyDescent="0.35">
      <c r="B179" s="141"/>
      <c r="C179" s="142"/>
      <c r="D179" s="142"/>
      <c r="E179" s="142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3" t="str">
        <f t="shared" si="12"/>
        <v/>
      </c>
      <c r="AE179" s="143" t="str">
        <f t="shared" si="13"/>
        <v/>
      </c>
      <c r="AF179" s="143"/>
      <c r="AG179" s="142"/>
      <c r="AH179" s="143"/>
      <c r="AI179" s="142"/>
      <c r="AJ179" s="144" t="str">
        <f t="shared" si="14"/>
        <v/>
      </c>
      <c r="AK179" s="145" t="str">
        <f t="shared" si="15"/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 t="shared" si="12"/>
        <v/>
      </c>
      <c r="AE180" s="80" t="str">
        <f t="shared" si="13"/>
        <v/>
      </c>
      <c r="AF180" s="81"/>
      <c r="AG180" s="77"/>
      <c r="AH180" s="81"/>
      <c r="AI180" s="77"/>
      <c r="AJ180" s="82" t="str">
        <f t="shared" si="14"/>
        <v/>
      </c>
      <c r="AK180" s="83" t="str">
        <f t="shared" si="15"/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 t="shared" si="12"/>
        <v/>
      </c>
      <c r="AE181" s="80" t="str">
        <f t="shared" si="13"/>
        <v/>
      </c>
      <c r="AF181" s="81"/>
      <c r="AG181" s="77"/>
      <c r="AH181" s="81"/>
      <c r="AI181" s="77"/>
      <c r="AJ181" s="82" t="str">
        <f t="shared" si="14"/>
        <v/>
      </c>
      <c r="AK181" s="83" t="str">
        <f t="shared" si="15"/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 t="shared" si="12"/>
        <v/>
      </c>
      <c r="AE182" s="80" t="str">
        <f t="shared" si="13"/>
        <v/>
      </c>
      <c r="AF182" s="81"/>
      <c r="AG182" s="77"/>
      <c r="AH182" s="81"/>
      <c r="AI182" s="77"/>
      <c r="AJ182" s="82" t="str">
        <f t="shared" si="14"/>
        <v/>
      </c>
      <c r="AK182" s="83" t="str">
        <f t="shared" si="15"/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 t="shared" si="12"/>
        <v/>
      </c>
      <c r="AE183" s="80" t="str">
        <f t="shared" si="13"/>
        <v/>
      </c>
      <c r="AF183" s="81"/>
      <c r="AG183" s="77"/>
      <c r="AH183" s="81"/>
      <c r="AI183" s="77"/>
      <c r="AJ183" s="82" t="str">
        <f t="shared" si="14"/>
        <v/>
      </c>
      <c r="AK183" s="83" t="str">
        <f t="shared" si="15"/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 t="shared" si="12"/>
        <v/>
      </c>
      <c r="AE184" s="80" t="str">
        <f t="shared" si="13"/>
        <v/>
      </c>
      <c r="AF184" s="81"/>
      <c r="AG184" s="77"/>
      <c r="AH184" s="81"/>
      <c r="AI184" s="77"/>
      <c r="AJ184" s="82" t="str">
        <f t="shared" si="14"/>
        <v/>
      </c>
      <c r="AK184" s="83" t="str">
        <f t="shared" si="15"/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 t="shared" si="12"/>
        <v/>
      </c>
      <c r="AE185" s="80" t="str">
        <f t="shared" si="13"/>
        <v/>
      </c>
      <c r="AF185" s="81"/>
      <c r="AG185" s="77"/>
      <c r="AH185" s="81"/>
      <c r="AI185" s="77"/>
      <c r="AJ185" s="82" t="str">
        <f t="shared" si="14"/>
        <v/>
      </c>
      <c r="AK185" s="83" t="str">
        <f t="shared" si="15"/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 t="shared" si="12"/>
        <v/>
      </c>
      <c r="AE186" s="80" t="str">
        <f t="shared" si="13"/>
        <v/>
      </c>
      <c r="AF186" s="81"/>
      <c r="AG186" s="77"/>
      <c r="AH186" s="81"/>
      <c r="AI186" s="77"/>
      <c r="AJ186" s="82" t="str">
        <f t="shared" si="14"/>
        <v/>
      </c>
      <c r="AK186" s="83" t="str">
        <f t="shared" si="15"/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 t="shared" si="12"/>
        <v/>
      </c>
      <c r="AE187" s="80" t="str">
        <f t="shared" si="13"/>
        <v/>
      </c>
      <c r="AF187" s="81"/>
      <c r="AG187" s="77"/>
      <c r="AH187" s="81"/>
      <c r="AI187" s="77"/>
      <c r="AJ187" s="82" t="str">
        <f t="shared" si="14"/>
        <v/>
      </c>
      <c r="AK187" s="83" t="str">
        <f t="shared" si="15"/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 t="shared" si="12"/>
        <v/>
      </c>
      <c r="AE188" s="80" t="str">
        <f t="shared" si="13"/>
        <v/>
      </c>
      <c r="AF188" s="81"/>
      <c r="AG188" s="77"/>
      <c r="AH188" s="81"/>
      <c r="AI188" s="77"/>
      <c r="AJ188" s="82" t="str">
        <f t="shared" si="14"/>
        <v/>
      </c>
      <c r="AK188" s="83" t="str">
        <f t="shared" si="15"/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 t="shared" si="12"/>
        <v/>
      </c>
      <c r="AE189" s="80" t="str">
        <f t="shared" si="13"/>
        <v/>
      </c>
      <c r="AF189" s="81"/>
      <c r="AG189" s="77"/>
      <c r="AH189" s="81"/>
      <c r="AI189" s="77"/>
      <c r="AJ189" s="82" t="str">
        <f t="shared" si="14"/>
        <v/>
      </c>
      <c r="AK189" s="83" t="str">
        <f t="shared" si="15"/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 t="shared" si="12"/>
        <v/>
      </c>
      <c r="AE190" s="80" t="str">
        <f t="shared" si="13"/>
        <v/>
      </c>
      <c r="AF190" s="81"/>
      <c r="AG190" s="77"/>
      <c r="AH190" s="81"/>
      <c r="AI190" s="77"/>
      <c r="AJ190" s="82" t="str">
        <f t="shared" si="14"/>
        <v/>
      </c>
      <c r="AK190" s="83" t="str">
        <f t="shared" si="15"/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 t="shared" si="12"/>
        <v/>
      </c>
      <c r="AE191" s="80" t="str">
        <f t="shared" si="13"/>
        <v/>
      </c>
      <c r="AF191" s="81"/>
      <c r="AG191" s="77"/>
      <c r="AH191" s="81"/>
      <c r="AI191" s="77"/>
      <c r="AJ191" s="82" t="str">
        <f t="shared" si="14"/>
        <v/>
      </c>
      <c r="AK191" s="83" t="str">
        <f t="shared" si="15"/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 t="shared" si="12"/>
        <v/>
      </c>
      <c r="AE192" s="80" t="str">
        <f t="shared" si="13"/>
        <v/>
      </c>
      <c r="AF192" s="81"/>
      <c r="AG192" s="77"/>
      <c r="AH192" s="81"/>
      <c r="AI192" s="77"/>
      <c r="AJ192" s="82" t="str">
        <f t="shared" si="14"/>
        <v/>
      </c>
      <c r="AK192" s="83" t="str">
        <f t="shared" si="15"/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 t="shared" si="12"/>
        <v/>
      </c>
      <c r="AE193" s="80" t="str">
        <f t="shared" si="13"/>
        <v/>
      </c>
      <c r="AF193" s="81"/>
      <c r="AG193" s="77"/>
      <c r="AH193" s="81"/>
      <c r="AI193" s="77"/>
      <c r="AJ193" s="82" t="str">
        <f t="shared" si="14"/>
        <v/>
      </c>
      <c r="AK193" s="83" t="str">
        <f t="shared" si="15"/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 t="shared" si="12"/>
        <v/>
      </c>
      <c r="AE194" s="80" t="str">
        <f t="shared" si="13"/>
        <v/>
      </c>
      <c r="AF194" s="81"/>
      <c r="AG194" s="77"/>
      <c r="AH194" s="81"/>
      <c r="AI194" s="77"/>
      <c r="AJ194" s="82" t="str">
        <f t="shared" si="14"/>
        <v/>
      </c>
      <c r="AK194" s="83" t="str">
        <f t="shared" si="15"/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 t="shared" si="12"/>
        <v/>
      </c>
      <c r="AE195" s="80" t="str">
        <f t="shared" si="13"/>
        <v/>
      </c>
      <c r="AF195" s="81"/>
      <c r="AG195" s="77"/>
      <c r="AH195" s="81"/>
      <c r="AI195" s="77"/>
      <c r="AJ195" s="82" t="str">
        <f t="shared" si="14"/>
        <v/>
      </c>
      <c r="AK195" s="83" t="str">
        <f t="shared" si="15"/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 t="shared" ref="AD196:AD259" si="16">IF(MIN(F196,J196,N196,R196,V196,Z196)&lt;&gt;0,MIN(F196,J196,N196,R196,V196,Z196),"")</f>
        <v/>
      </c>
      <c r="AE196" s="80" t="str">
        <f t="shared" ref="AE196:AE259" si="17">IF(MIN(H196,L196,P196,T196,X196,AB196)&lt;&gt;0,MIN(H196,L196,P196,T196,X196,AB196),"")</f>
        <v/>
      </c>
      <c r="AF196" s="81"/>
      <c r="AG196" s="77"/>
      <c r="AH196" s="81"/>
      <c r="AI196" s="77"/>
      <c r="AJ196" s="82" t="str">
        <f t="shared" ref="AJ196:AJ259" si="18">IF(AD196="","",IF(ISBLANK(AF196),"En cours",AD196+AF196))</f>
        <v/>
      </c>
      <c r="AK196" s="83" t="str">
        <f t="shared" ref="AK196:AK259" si="19"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 t="shared" si="16"/>
        <v/>
      </c>
      <c r="AE197" s="80" t="str">
        <f t="shared" si="17"/>
        <v/>
      </c>
      <c r="AF197" s="81"/>
      <c r="AG197" s="77"/>
      <c r="AH197" s="81"/>
      <c r="AI197" s="77"/>
      <c r="AJ197" s="82" t="str">
        <f t="shared" si="18"/>
        <v/>
      </c>
      <c r="AK197" s="83" t="str">
        <f t="shared" si="19"/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 t="shared" si="16"/>
        <v/>
      </c>
      <c r="AE198" s="80" t="str">
        <f t="shared" si="17"/>
        <v/>
      </c>
      <c r="AF198" s="81"/>
      <c r="AG198" s="77"/>
      <c r="AH198" s="81"/>
      <c r="AI198" s="77"/>
      <c r="AJ198" s="82" t="str">
        <f t="shared" si="18"/>
        <v/>
      </c>
      <c r="AK198" s="83" t="str">
        <f t="shared" si="19"/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 t="shared" si="16"/>
        <v/>
      </c>
      <c r="AE199" s="80" t="str">
        <f t="shared" si="17"/>
        <v/>
      </c>
      <c r="AF199" s="81"/>
      <c r="AG199" s="77"/>
      <c r="AH199" s="81"/>
      <c r="AI199" s="77"/>
      <c r="AJ199" s="82" t="str">
        <f t="shared" si="18"/>
        <v/>
      </c>
      <c r="AK199" s="83" t="str">
        <f t="shared" si="19"/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 t="shared" si="16"/>
        <v/>
      </c>
      <c r="AE200" s="80" t="str">
        <f t="shared" si="17"/>
        <v/>
      </c>
      <c r="AF200" s="81"/>
      <c r="AG200" s="77"/>
      <c r="AH200" s="81"/>
      <c r="AI200" s="77"/>
      <c r="AJ200" s="82" t="str">
        <f t="shared" si="18"/>
        <v/>
      </c>
      <c r="AK200" s="83" t="str">
        <f t="shared" si="19"/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 t="shared" si="16"/>
        <v/>
      </c>
      <c r="AE201" s="80" t="str">
        <f t="shared" si="17"/>
        <v/>
      </c>
      <c r="AF201" s="81"/>
      <c r="AG201" s="77"/>
      <c r="AH201" s="81"/>
      <c r="AI201" s="77"/>
      <c r="AJ201" s="82" t="str">
        <f t="shared" si="18"/>
        <v/>
      </c>
      <c r="AK201" s="83" t="str">
        <f t="shared" si="19"/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 t="shared" si="16"/>
        <v/>
      </c>
      <c r="AE202" s="80" t="str">
        <f t="shared" si="17"/>
        <v/>
      </c>
      <c r="AF202" s="81"/>
      <c r="AG202" s="77"/>
      <c r="AH202" s="81"/>
      <c r="AI202" s="77"/>
      <c r="AJ202" s="82" t="str">
        <f t="shared" si="18"/>
        <v/>
      </c>
      <c r="AK202" s="83" t="str">
        <f t="shared" si="19"/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 t="shared" si="16"/>
        <v/>
      </c>
      <c r="AE203" s="80" t="str">
        <f t="shared" si="17"/>
        <v/>
      </c>
      <c r="AF203" s="81"/>
      <c r="AG203" s="77"/>
      <c r="AH203" s="81"/>
      <c r="AI203" s="77"/>
      <c r="AJ203" s="82" t="str">
        <f t="shared" si="18"/>
        <v/>
      </c>
      <c r="AK203" s="83" t="str">
        <f t="shared" si="19"/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 t="shared" si="16"/>
        <v/>
      </c>
      <c r="AE204" s="80" t="str">
        <f t="shared" si="17"/>
        <v/>
      </c>
      <c r="AF204" s="81"/>
      <c r="AG204" s="77"/>
      <c r="AH204" s="81"/>
      <c r="AI204" s="77"/>
      <c r="AJ204" s="82" t="str">
        <f t="shared" si="18"/>
        <v/>
      </c>
      <c r="AK204" s="83" t="str">
        <f t="shared" si="19"/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 t="shared" si="16"/>
        <v/>
      </c>
      <c r="AE205" s="80" t="str">
        <f t="shared" si="17"/>
        <v/>
      </c>
      <c r="AF205" s="81"/>
      <c r="AG205" s="77"/>
      <c r="AH205" s="81"/>
      <c r="AI205" s="77"/>
      <c r="AJ205" s="82" t="str">
        <f t="shared" si="18"/>
        <v/>
      </c>
      <c r="AK205" s="83" t="str">
        <f t="shared" si="19"/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 t="shared" si="16"/>
        <v/>
      </c>
      <c r="AE206" s="80" t="str">
        <f t="shared" si="17"/>
        <v/>
      </c>
      <c r="AF206" s="81"/>
      <c r="AG206" s="77"/>
      <c r="AH206" s="81"/>
      <c r="AI206" s="77"/>
      <c r="AJ206" s="82" t="str">
        <f t="shared" si="18"/>
        <v/>
      </c>
      <c r="AK206" s="83" t="str">
        <f t="shared" si="19"/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 t="shared" si="16"/>
        <v/>
      </c>
      <c r="AE207" s="80" t="str">
        <f t="shared" si="17"/>
        <v/>
      </c>
      <c r="AF207" s="81"/>
      <c r="AG207" s="77"/>
      <c r="AH207" s="81"/>
      <c r="AI207" s="77"/>
      <c r="AJ207" s="82" t="str">
        <f t="shared" si="18"/>
        <v/>
      </c>
      <c r="AK207" s="83" t="str">
        <f t="shared" si="19"/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 t="shared" si="16"/>
        <v/>
      </c>
      <c r="AE208" s="80" t="str">
        <f t="shared" si="17"/>
        <v/>
      </c>
      <c r="AF208" s="81"/>
      <c r="AG208" s="77"/>
      <c r="AH208" s="81"/>
      <c r="AI208" s="77"/>
      <c r="AJ208" s="82" t="str">
        <f t="shared" si="18"/>
        <v/>
      </c>
      <c r="AK208" s="83" t="str">
        <f t="shared" si="19"/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 t="shared" si="16"/>
        <v/>
      </c>
      <c r="AE209" s="80" t="str">
        <f t="shared" si="17"/>
        <v/>
      </c>
      <c r="AF209" s="81"/>
      <c r="AG209" s="77"/>
      <c r="AH209" s="81"/>
      <c r="AI209" s="77"/>
      <c r="AJ209" s="82" t="str">
        <f t="shared" si="18"/>
        <v/>
      </c>
      <c r="AK209" s="83" t="str">
        <f t="shared" si="19"/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 t="shared" si="16"/>
        <v/>
      </c>
      <c r="AE210" s="80" t="str">
        <f t="shared" si="17"/>
        <v/>
      </c>
      <c r="AF210" s="81"/>
      <c r="AG210" s="77"/>
      <c r="AH210" s="81"/>
      <c r="AI210" s="77"/>
      <c r="AJ210" s="82" t="str">
        <f t="shared" si="18"/>
        <v/>
      </c>
      <c r="AK210" s="83" t="str">
        <f t="shared" si="19"/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 t="shared" si="16"/>
        <v/>
      </c>
      <c r="AE211" s="80" t="str">
        <f t="shared" si="17"/>
        <v/>
      </c>
      <c r="AF211" s="81"/>
      <c r="AG211" s="77"/>
      <c r="AH211" s="81"/>
      <c r="AI211" s="77"/>
      <c r="AJ211" s="82" t="str">
        <f t="shared" si="18"/>
        <v/>
      </c>
      <c r="AK211" s="83" t="str">
        <f t="shared" si="19"/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 t="shared" si="16"/>
        <v/>
      </c>
      <c r="AE212" s="80" t="str">
        <f t="shared" si="17"/>
        <v/>
      </c>
      <c r="AF212" s="81"/>
      <c r="AG212" s="77"/>
      <c r="AH212" s="81"/>
      <c r="AI212" s="77"/>
      <c r="AJ212" s="82" t="str">
        <f t="shared" si="18"/>
        <v/>
      </c>
      <c r="AK212" s="83" t="str">
        <f t="shared" si="19"/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 t="shared" si="16"/>
        <v/>
      </c>
      <c r="AE213" s="80" t="str">
        <f t="shared" si="17"/>
        <v/>
      </c>
      <c r="AF213" s="81"/>
      <c r="AG213" s="77"/>
      <c r="AH213" s="81"/>
      <c r="AI213" s="77"/>
      <c r="AJ213" s="82" t="str">
        <f t="shared" si="18"/>
        <v/>
      </c>
      <c r="AK213" s="83" t="str">
        <f t="shared" si="19"/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 t="shared" si="16"/>
        <v/>
      </c>
      <c r="AE214" s="80" t="str">
        <f t="shared" si="17"/>
        <v/>
      </c>
      <c r="AF214" s="81"/>
      <c r="AG214" s="77"/>
      <c r="AH214" s="81"/>
      <c r="AI214" s="77"/>
      <c r="AJ214" s="82" t="str">
        <f t="shared" si="18"/>
        <v/>
      </c>
      <c r="AK214" s="83" t="str">
        <f t="shared" si="19"/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 t="shared" si="16"/>
        <v/>
      </c>
      <c r="AE215" s="80" t="str">
        <f t="shared" si="17"/>
        <v/>
      </c>
      <c r="AF215" s="81"/>
      <c r="AG215" s="77"/>
      <c r="AH215" s="81"/>
      <c r="AI215" s="77"/>
      <c r="AJ215" s="82" t="str">
        <f t="shared" si="18"/>
        <v/>
      </c>
      <c r="AK215" s="83" t="str">
        <f t="shared" si="19"/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 t="shared" si="16"/>
        <v/>
      </c>
      <c r="AE216" s="80" t="str">
        <f t="shared" si="17"/>
        <v/>
      </c>
      <c r="AF216" s="81"/>
      <c r="AG216" s="77"/>
      <c r="AH216" s="81"/>
      <c r="AI216" s="77"/>
      <c r="AJ216" s="82" t="str">
        <f t="shared" si="18"/>
        <v/>
      </c>
      <c r="AK216" s="83" t="str">
        <f t="shared" si="19"/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 t="shared" si="16"/>
        <v/>
      </c>
      <c r="AE217" s="80" t="str">
        <f t="shared" si="17"/>
        <v/>
      </c>
      <c r="AF217" s="81"/>
      <c r="AG217" s="77"/>
      <c r="AH217" s="81"/>
      <c r="AI217" s="77"/>
      <c r="AJ217" s="82" t="str">
        <f t="shared" si="18"/>
        <v/>
      </c>
      <c r="AK217" s="83" t="str">
        <f t="shared" si="19"/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 t="shared" si="16"/>
        <v/>
      </c>
      <c r="AE218" s="80" t="str">
        <f t="shared" si="17"/>
        <v/>
      </c>
      <c r="AF218" s="81"/>
      <c r="AG218" s="77"/>
      <c r="AH218" s="81"/>
      <c r="AI218" s="77"/>
      <c r="AJ218" s="82" t="str">
        <f t="shared" si="18"/>
        <v/>
      </c>
      <c r="AK218" s="83" t="str">
        <f t="shared" si="19"/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 t="shared" si="16"/>
        <v/>
      </c>
      <c r="AE219" s="80" t="str">
        <f t="shared" si="17"/>
        <v/>
      </c>
      <c r="AF219" s="81"/>
      <c r="AG219" s="77"/>
      <c r="AH219" s="81"/>
      <c r="AI219" s="77"/>
      <c r="AJ219" s="82" t="str">
        <f t="shared" si="18"/>
        <v/>
      </c>
      <c r="AK219" s="83" t="str">
        <f t="shared" si="19"/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 t="shared" si="16"/>
        <v/>
      </c>
      <c r="AE220" s="80" t="str">
        <f t="shared" si="17"/>
        <v/>
      </c>
      <c r="AF220" s="81"/>
      <c r="AG220" s="77"/>
      <c r="AH220" s="81"/>
      <c r="AI220" s="77"/>
      <c r="AJ220" s="82" t="str">
        <f t="shared" si="18"/>
        <v/>
      </c>
      <c r="AK220" s="83" t="str">
        <f t="shared" si="19"/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 t="shared" si="16"/>
        <v/>
      </c>
      <c r="AE221" s="80" t="str">
        <f t="shared" si="17"/>
        <v/>
      </c>
      <c r="AF221" s="81"/>
      <c r="AG221" s="77"/>
      <c r="AH221" s="81"/>
      <c r="AI221" s="77"/>
      <c r="AJ221" s="82" t="str">
        <f t="shared" si="18"/>
        <v/>
      </c>
      <c r="AK221" s="83" t="str">
        <f t="shared" si="19"/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 t="shared" si="16"/>
        <v/>
      </c>
      <c r="AE222" s="80" t="str">
        <f t="shared" si="17"/>
        <v/>
      </c>
      <c r="AF222" s="81"/>
      <c r="AG222" s="77"/>
      <c r="AH222" s="81"/>
      <c r="AI222" s="77"/>
      <c r="AJ222" s="82" t="str">
        <f t="shared" si="18"/>
        <v/>
      </c>
      <c r="AK222" s="83" t="str">
        <f t="shared" si="19"/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 t="shared" si="16"/>
        <v/>
      </c>
      <c r="AE223" s="80" t="str">
        <f t="shared" si="17"/>
        <v/>
      </c>
      <c r="AF223" s="81"/>
      <c r="AG223" s="77"/>
      <c r="AH223" s="81"/>
      <c r="AI223" s="77"/>
      <c r="AJ223" s="82" t="str">
        <f t="shared" si="18"/>
        <v/>
      </c>
      <c r="AK223" s="83" t="str">
        <f t="shared" si="19"/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 t="shared" si="16"/>
        <v/>
      </c>
      <c r="AE224" s="80" t="str">
        <f t="shared" si="17"/>
        <v/>
      </c>
      <c r="AF224" s="81"/>
      <c r="AG224" s="77"/>
      <c r="AH224" s="81"/>
      <c r="AI224" s="77"/>
      <c r="AJ224" s="82" t="str">
        <f t="shared" si="18"/>
        <v/>
      </c>
      <c r="AK224" s="83" t="str">
        <f t="shared" si="19"/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 t="shared" si="16"/>
        <v/>
      </c>
      <c r="AE225" s="80" t="str">
        <f t="shared" si="17"/>
        <v/>
      </c>
      <c r="AF225" s="81"/>
      <c r="AG225" s="77"/>
      <c r="AH225" s="81"/>
      <c r="AI225" s="77"/>
      <c r="AJ225" s="82" t="str">
        <f t="shared" si="18"/>
        <v/>
      </c>
      <c r="AK225" s="83" t="str">
        <f t="shared" si="19"/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 t="shared" si="16"/>
        <v/>
      </c>
      <c r="AE226" s="80" t="str">
        <f t="shared" si="17"/>
        <v/>
      </c>
      <c r="AF226" s="81"/>
      <c r="AG226" s="77"/>
      <c r="AH226" s="81"/>
      <c r="AI226" s="77"/>
      <c r="AJ226" s="82" t="str">
        <f t="shared" si="18"/>
        <v/>
      </c>
      <c r="AK226" s="83" t="str">
        <f t="shared" si="19"/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 t="shared" si="16"/>
        <v/>
      </c>
      <c r="AE227" s="80" t="str">
        <f t="shared" si="17"/>
        <v/>
      </c>
      <c r="AF227" s="81"/>
      <c r="AG227" s="77"/>
      <c r="AH227" s="81"/>
      <c r="AI227" s="77"/>
      <c r="AJ227" s="82" t="str">
        <f t="shared" si="18"/>
        <v/>
      </c>
      <c r="AK227" s="83" t="str">
        <f t="shared" si="19"/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 t="shared" si="16"/>
        <v/>
      </c>
      <c r="AE228" s="80" t="str">
        <f t="shared" si="17"/>
        <v/>
      </c>
      <c r="AF228" s="81"/>
      <c r="AG228" s="77"/>
      <c r="AH228" s="81"/>
      <c r="AI228" s="77"/>
      <c r="AJ228" s="82" t="str">
        <f t="shared" si="18"/>
        <v/>
      </c>
      <c r="AK228" s="83" t="str">
        <f t="shared" si="19"/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 t="shared" si="16"/>
        <v/>
      </c>
      <c r="AE229" s="80" t="str">
        <f t="shared" si="17"/>
        <v/>
      </c>
      <c r="AF229" s="81"/>
      <c r="AG229" s="77"/>
      <c r="AH229" s="81"/>
      <c r="AI229" s="77"/>
      <c r="AJ229" s="82" t="str">
        <f t="shared" si="18"/>
        <v/>
      </c>
      <c r="AK229" s="83" t="str">
        <f t="shared" si="19"/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 t="shared" si="16"/>
        <v/>
      </c>
      <c r="AE230" s="80" t="str">
        <f t="shared" si="17"/>
        <v/>
      </c>
      <c r="AF230" s="81"/>
      <c r="AG230" s="77"/>
      <c r="AH230" s="81"/>
      <c r="AI230" s="77"/>
      <c r="AJ230" s="82" t="str">
        <f t="shared" si="18"/>
        <v/>
      </c>
      <c r="AK230" s="83" t="str">
        <f t="shared" si="19"/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 t="shared" si="16"/>
        <v/>
      </c>
      <c r="AE231" s="80" t="str">
        <f t="shared" si="17"/>
        <v/>
      </c>
      <c r="AF231" s="81"/>
      <c r="AG231" s="77"/>
      <c r="AH231" s="81"/>
      <c r="AI231" s="77"/>
      <c r="AJ231" s="82" t="str">
        <f t="shared" si="18"/>
        <v/>
      </c>
      <c r="AK231" s="83" t="str">
        <f t="shared" si="19"/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 t="shared" si="16"/>
        <v/>
      </c>
      <c r="AE232" s="80" t="str">
        <f t="shared" si="17"/>
        <v/>
      </c>
      <c r="AF232" s="81"/>
      <c r="AG232" s="77"/>
      <c r="AH232" s="81"/>
      <c r="AI232" s="77"/>
      <c r="AJ232" s="82" t="str">
        <f t="shared" si="18"/>
        <v/>
      </c>
      <c r="AK232" s="83" t="str">
        <f t="shared" si="19"/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 t="shared" si="16"/>
        <v/>
      </c>
      <c r="AE233" s="80" t="str">
        <f t="shared" si="17"/>
        <v/>
      </c>
      <c r="AF233" s="81"/>
      <c r="AG233" s="77"/>
      <c r="AH233" s="81"/>
      <c r="AI233" s="77"/>
      <c r="AJ233" s="82" t="str">
        <f t="shared" si="18"/>
        <v/>
      </c>
      <c r="AK233" s="83" t="str">
        <f t="shared" si="19"/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 t="shared" si="16"/>
        <v/>
      </c>
      <c r="AE234" s="80" t="str">
        <f t="shared" si="17"/>
        <v/>
      </c>
      <c r="AF234" s="81"/>
      <c r="AG234" s="77"/>
      <c r="AH234" s="81"/>
      <c r="AI234" s="77"/>
      <c r="AJ234" s="82" t="str">
        <f t="shared" si="18"/>
        <v/>
      </c>
      <c r="AK234" s="83" t="str">
        <f t="shared" si="19"/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 t="shared" si="16"/>
        <v/>
      </c>
      <c r="AE235" s="80" t="str">
        <f t="shared" si="17"/>
        <v/>
      </c>
      <c r="AF235" s="81"/>
      <c r="AG235" s="77"/>
      <c r="AH235" s="81"/>
      <c r="AI235" s="77"/>
      <c r="AJ235" s="82" t="str">
        <f t="shared" si="18"/>
        <v/>
      </c>
      <c r="AK235" s="83" t="str">
        <f t="shared" si="19"/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 t="shared" si="16"/>
        <v/>
      </c>
      <c r="AE236" s="80" t="str">
        <f t="shared" si="17"/>
        <v/>
      </c>
      <c r="AF236" s="81"/>
      <c r="AG236" s="77"/>
      <c r="AH236" s="81"/>
      <c r="AI236" s="77"/>
      <c r="AJ236" s="82" t="str">
        <f t="shared" si="18"/>
        <v/>
      </c>
      <c r="AK236" s="83" t="str">
        <f t="shared" si="19"/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 t="shared" si="16"/>
        <v/>
      </c>
      <c r="AE237" s="80" t="str">
        <f t="shared" si="17"/>
        <v/>
      </c>
      <c r="AF237" s="81"/>
      <c r="AG237" s="77"/>
      <c r="AH237" s="81"/>
      <c r="AI237" s="77"/>
      <c r="AJ237" s="82" t="str">
        <f t="shared" si="18"/>
        <v/>
      </c>
      <c r="AK237" s="83" t="str">
        <f t="shared" si="19"/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 t="shared" si="16"/>
        <v/>
      </c>
      <c r="AE238" s="80" t="str">
        <f t="shared" si="17"/>
        <v/>
      </c>
      <c r="AF238" s="81"/>
      <c r="AG238" s="77"/>
      <c r="AH238" s="81"/>
      <c r="AI238" s="77"/>
      <c r="AJ238" s="82" t="str">
        <f t="shared" si="18"/>
        <v/>
      </c>
      <c r="AK238" s="83" t="str">
        <f t="shared" si="19"/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 t="shared" si="16"/>
        <v/>
      </c>
      <c r="AE239" s="80" t="str">
        <f t="shared" si="17"/>
        <v/>
      </c>
      <c r="AF239" s="81"/>
      <c r="AG239" s="77"/>
      <c r="AH239" s="81"/>
      <c r="AI239" s="77"/>
      <c r="AJ239" s="82" t="str">
        <f t="shared" si="18"/>
        <v/>
      </c>
      <c r="AK239" s="83" t="str">
        <f t="shared" si="19"/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 t="shared" si="16"/>
        <v/>
      </c>
      <c r="AE240" s="80" t="str">
        <f t="shared" si="17"/>
        <v/>
      </c>
      <c r="AF240" s="81"/>
      <c r="AG240" s="77"/>
      <c r="AH240" s="81"/>
      <c r="AI240" s="77"/>
      <c r="AJ240" s="82" t="str">
        <f t="shared" si="18"/>
        <v/>
      </c>
      <c r="AK240" s="83" t="str">
        <f t="shared" si="19"/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 t="shared" si="16"/>
        <v/>
      </c>
      <c r="AE241" s="80" t="str">
        <f t="shared" si="17"/>
        <v/>
      </c>
      <c r="AF241" s="81"/>
      <c r="AG241" s="77"/>
      <c r="AH241" s="81"/>
      <c r="AI241" s="77"/>
      <c r="AJ241" s="82" t="str">
        <f t="shared" si="18"/>
        <v/>
      </c>
      <c r="AK241" s="83" t="str">
        <f t="shared" si="19"/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 t="shared" si="16"/>
        <v/>
      </c>
      <c r="AE242" s="80" t="str">
        <f t="shared" si="17"/>
        <v/>
      </c>
      <c r="AF242" s="81"/>
      <c r="AG242" s="77"/>
      <c r="AH242" s="81"/>
      <c r="AI242" s="77"/>
      <c r="AJ242" s="82" t="str">
        <f t="shared" si="18"/>
        <v/>
      </c>
      <c r="AK242" s="83" t="str">
        <f t="shared" si="19"/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 t="shared" si="16"/>
        <v/>
      </c>
      <c r="AE243" s="80" t="str">
        <f t="shared" si="17"/>
        <v/>
      </c>
      <c r="AF243" s="81"/>
      <c r="AG243" s="77"/>
      <c r="AH243" s="81"/>
      <c r="AI243" s="77"/>
      <c r="AJ243" s="82" t="str">
        <f t="shared" si="18"/>
        <v/>
      </c>
      <c r="AK243" s="83" t="str">
        <f t="shared" si="19"/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 t="shared" si="16"/>
        <v/>
      </c>
      <c r="AE244" s="80" t="str">
        <f t="shared" si="17"/>
        <v/>
      </c>
      <c r="AF244" s="81"/>
      <c r="AG244" s="77"/>
      <c r="AH244" s="81"/>
      <c r="AI244" s="77"/>
      <c r="AJ244" s="82" t="str">
        <f t="shared" si="18"/>
        <v/>
      </c>
      <c r="AK244" s="83" t="str">
        <f t="shared" si="19"/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 t="shared" si="16"/>
        <v/>
      </c>
      <c r="AE245" s="80" t="str">
        <f t="shared" si="17"/>
        <v/>
      </c>
      <c r="AF245" s="81"/>
      <c r="AG245" s="77"/>
      <c r="AH245" s="81"/>
      <c r="AI245" s="77"/>
      <c r="AJ245" s="82" t="str">
        <f t="shared" si="18"/>
        <v/>
      </c>
      <c r="AK245" s="83" t="str">
        <f t="shared" si="19"/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 t="shared" si="16"/>
        <v/>
      </c>
      <c r="AE246" s="80" t="str">
        <f t="shared" si="17"/>
        <v/>
      </c>
      <c r="AF246" s="81"/>
      <c r="AG246" s="77"/>
      <c r="AH246" s="81"/>
      <c r="AI246" s="77"/>
      <c r="AJ246" s="82" t="str">
        <f t="shared" si="18"/>
        <v/>
      </c>
      <c r="AK246" s="83" t="str">
        <f t="shared" si="19"/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 t="shared" si="16"/>
        <v/>
      </c>
      <c r="AE247" s="80" t="str">
        <f t="shared" si="17"/>
        <v/>
      </c>
      <c r="AF247" s="81"/>
      <c r="AG247" s="77"/>
      <c r="AH247" s="81"/>
      <c r="AI247" s="77"/>
      <c r="AJ247" s="82" t="str">
        <f t="shared" si="18"/>
        <v/>
      </c>
      <c r="AK247" s="83" t="str">
        <f t="shared" si="19"/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 t="shared" si="16"/>
        <v/>
      </c>
      <c r="AE248" s="80" t="str">
        <f t="shared" si="17"/>
        <v/>
      </c>
      <c r="AF248" s="81"/>
      <c r="AG248" s="77"/>
      <c r="AH248" s="81"/>
      <c r="AI248" s="77"/>
      <c r="AJ248" s="82" t="str">
        <f t="shared" si="18"/>
        <v/>
      </c>
      <c r="AK248" s="83" t="str">
        <f t="shared" si="19"/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 t="shared" si="16"/>
        <v/>
      </c>
      <c r="AE249" s="80" t="str">
        <f t="shared" si="17"/>
        <v/>
      </c>
      <c r="AF249" s="81"/>
      <c r="AG249" s="77"/>
      <c r="AH249" s="81"/>
      <c r="AI249" s="77"/>
      <c r="AJ249" s="82" t="str">
        <f t="shared" si="18"/>
        <v/>
      </c>
      <c r="AK249" s="83" t="str">
        <f t="shared" si="19"/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 t="shared" si="16"/>
        <v/>
      </c>
      <c r="AE250" s="80" t="str">
        <f t="shared" si="17"/>
        <v/>
      </c>
      <c r="AF250" s="81"/>
      <c r="AG250" s="77"/>
      <c r="AH250" s="81"/>
      <c r="AI250" s="77"/>
      <c r="AJ250" s="82" t="str">
        <f t="shared" si="18"/>
        <v/>
      </c>
      <c r="AK250" s="83" t="str">
        <f t="shared" si="19"/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 t="shared" si="16"/>
        <v/>
      </c>
      <c r="AE251" s="80" t="str">
        <f t="shared" si="17"/>
        <v/>
      </c>
      <c r="AF251" s="81"/>
      <c r="AG251" s="77"/>
      <c r="AH251" s="81"/>
      <c r="AI251" s="77"/>
      <c r="AJ251" s="82" t="str">
        <f t="shared" si="18"/>
        <v/>
      </c>
      <c r="AK251" s="83" t="str">
        <f t="shared" si="19"/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 t="shared" si="16"/>
        <v/>
      </c>
      <c r="AE252" s="80" t="str">
        <f t="shared" si="17"/>
        <v/>
      </c>
      <c r="AF252" s="81"/>
      <c r="AG252" s="77"/>
      <c r="AH252" s="81"/>
      <c r="AI252" s="77"/>
      <c r="AJ252" s="82" t="str">
        <f t="shared" si="18"/>
        <v/>
      </c>
      <c r="AK252" s="83" t="str">
        <f t="shared" si="19"/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 t="shared" si="16"/>
        <v/>
      </c>
      <c r="AE253" s="80" t="str">
        <f t="shared" si="17"/>
        <v/>
      </c>
      <c r="AF253" s="81"/>
      <c r="AG253" s="77"/>
      <c r="AH253" s="81"/>
      <c r="AI253" s="77"/>
      <c r="AJ253" s="82" t="str">
        <f t="shared" si="18"/>
        <v/>
      </c>
      <c r="AK253" s="83" t="str">
        <f t="shared" si="19"/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 t="shared" si="16"/>
        <v/>
      </c>
      <c r="AE254" s="80" t="str">
        <f t="shared" si="17"/>
        <v/>
      </c>
      <c r="AF254" s="81"/>
      <c r="AG254" s="77"/>
      <c r="AH254" s="81"/>
      <c r="AI254" s="77"/>
      <c r="AJ254" s="82" t="str">
        <f t="shared" si="18"/>
        <v/>
      </c>
      <c r="AK254" s="83" t="str">
        <f t="shared" si="19"/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 t="shared" si="16"/>
        <v/>
      </c>
      <c r="AE255" s="80" t="str">
        <f t="shared" si="17"/>
        <v/>
      </c>
      <c r="AF255" s="81"/>
      <c r="AG255" s="77"/>
      <c r="AH255" s="81"/>
      <c r="AI255" s="77"/>
      <c r="AJ255" s="82" t="str">
        <f t="shared" si="18"/>
        <v/>
      </c>
      <c r="AK255" s="83" t="str">
        <f t="shared" si="19"/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 t="shared" si="16"/>
        <v/>
      </c>
      <c r="AE256" s="80" t="str">
        <f t="shared" si="17"/>
        <v/>
      </c>
      <c r="AF256" s="81"/>
      <c r="AG256" s="77"/>
      <c r="AH256" s="81"/>
      <c r="AI256" s="77"/>
      <c r="AJ256" s="82" t="str">
        <f t="shared" si="18"/>
        <v/>
      </c>
      <c r="AK256" s="83" t="str">
        <f t="shared" si="19"/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 t="shared" si="16"/>
        <v/>
      </c>
      <c r="AE257" s="80" t="str">
        <f t="shared" si="17"/>
        <v/>
      </c>
      <c r="AF257" s="81"/>
      <c r="AG257" s="77"/>
      <c r="AH257" s="81"/>
      <c r="AI257" s="77"/>
      <c r="AJ257" s="82" t="str">
        <f t="shared" si="18"/>
        <v/>
      </c>
      <c r="AK257" s="83" t="str">
        <f t="shared" si="19"/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 t="shared" si="16"/>
        <v/>
      </c>
      <c r="AE258" s="80" t="str">
        <f t="shared" si="17"/>
        <v/>
      </c>
      <c r="AF258" s="81"/>
      <c r="AG258" s="77"/>
      <c r="AH258" s="81"/>
      <c r="AI258" s="77"/>
      <c r="AJ258" s="82" t="str">
        <f t="shared" si="18"/>
        <v/>
      </c>
      <c r="AK258" s="83" t="str">
        <f t="shared" si="19"/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 t="shared" si="16"/>
        <v/>
      </c>
      <c r="AE259" s="80" t="str">
        <f t="shared" si="17"/>
        <v/>
      </c>
      <c r="AF259" s="81"/>
      <c r="AG259" s="77"/>
      <c r="AH259" s="81"/>
      <c r="AI259" s="77"/>
      <c r="AJ259" s="82" t="str">
        <f t="shared" si="18"/>
        <v/>
      </c>
      <c r="AK259" s="83" t="str">
        <f t="shared" si="19"/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 t="shared" ref="AD260:AD323" si="20">IF(MIN(F260,J260,N260,R260,V260,Z260)&lt;&gt;0,MIN(F260,J260,N260,R260,V260,Z260),"")</f>
        <v/>
      </c>
      <c r="AE260" s="80" t="str">
        <f t="shared" ref="AE260:AE323" si="21">IF(MIN(H260,L260,P260,T260,X260,AB260)&lt;&gt;0,MIN(H260,L260,P260,T260,X260,AB260),"")</f>
        <v/>
      </c>
      <c r="AF260" s="81"/>
      <c r="AG260" s="77"/>
      <c r="AH260" s="81"/>
      <c r="AI260" s="77"/>
      <c r="AJ260" s="82" t="str">
        <f t="shared" ref="AJ260:AJ323" si="22">IF(AD260="","",IF(ISBLANK(AF260),"En cours",AD260+AF260))</f>
        <v/>
      </c>
      <c r="AK260" s="83" t="str">
        <f t="shared" ref="AK260:AK323" si="23"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 t="shared" si="20"/>
        <v/>
      </c>
      <c r="AE261" s="80" t="str">
        <f t="shared" si="21"/>
        <v/>
      </c>
      <c r="AF261" s="81"/>
      <c r="AG261" s="77"/>
      <c r="AH261" s="81"/>
      <c r="AI261" s="77"/>
      <c r="AJ261" s="82" t="str">
        <f t="shared" si="22"/>
        <v/>
      </c>
      <c r="AK261" s="83" t="str">
        <f t="shared" si="23"/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 t="shared" si="20"/>
        <v/>
      </c>
      <c r="AE262" s="80" t="str">
        <f t="shared" si="21"/>
        <v/>
      </c>
      <c r="AF262" s="81"/>
      <c r="AG262" s="77"/>
      <c r="AH262" s="81"/>
      <c r="AI262" s="77"/>
      <c r="AJ262" s="82" t="str">
        <f t="shared" si="22"/>
        <v/>
      </c>
      <c r="AK262" s="83" t="str">
        <f t="shared" si="23"/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 t="shared" si="20"/>
        <v/>
      </c>
      <c r="AE263" s="80" t="str">
        <f t="shared" si="21"/>
        <v/>
      </c>
      <c r="AF263" s="81"/>
      <c r="AG263" s="77"/>
      <c r="AH263" s="81"/>
      <c r="AI263" s="77"/>
      <c r="AJ263" s="82" t="str">
        <f t="shared" si="22"/>
        <v/>
      </c>
      <c r="AK263" s="83" t="str">
        <f t="shared" si="23"/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 t="shared" si="20"/>
        <v/>
      </c>
      <c r="AE264" s="80" t="str">
        <f t="shared" si="21"/>
        <v/>
      </c>
      <c r="AF264" s="81"/>
      <c r="AG264" s="77"/>
      <c r="AH264" s="81"/>
      <c r="AI264" s="77"/>
      <c r="AJ264" s="82" t="str">
        <f t="shared" si="22"/>
        <v/>
      </c>
      <c r="AK264" s="83" t="str">
        <f t="shared" si="23"/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 t="shared" si="20"/>
        <v/>
      </c>
      <c r="AE265" s="80" t="str">
        <f t="shared" si="21"/>
        <v/>
      </c>
      <c r="AF265" s="81"/>
      <c r="AG265" s="77"/>
      <c r="AH265" s="81"/>
      <c r="AI265" s="77"/>
      <c r="AJ265" s="82" t="str">
        <f t="shared" si="22"/>
        <v/>
      </c>
      <c r="AK265" s="83" t="str">
        <f t="shared" si="23"/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 t="shared" si="20"/>
        <v/>
      </c>
      <c r="AE266" s="80" t="str">
        <f t="shared" si="21"/>
        <v/>
      </c>
      <c r="AF266" s="81"/>
      <c r="AG266" s="77"/>
      <c r="AH266" s="81"/>
      <c r="AI266" s="77"/>
      <c r="AJ266" s="82" t="str">
        <f t="shared" si="22"/>
        <v/>
      </c>
      <c r="AK266" s="83" t="str">
        <f t="shared" si="23"/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 t="shared" si="20"/>
        <v/>
      </c>
      <c r="AE267" s="80" t="str">
        <f t="shared" si="21"/>
        <v/>
      </c>
      <c r="AF267" s="81"/>
      <c r="AG267" s="77"/>
      <c r="AH267" s="81"/>
      <c r="AI267" s="77"/>
      <c r="AJ267" s="82" t="str">
        <f t="shared" si="22"/>
        <v/>
      </c>
      <c r="AK267" s="83" t="str">
        <f t="shared" si="23"/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 t="shared" si="20"/>
        <v/>
      </c>
      <c r="AE268" s="80" t="str">
        <f t="shared" si="21"/>
        <v/>
      </c>
      <c r="AF268" s="81"/>
      <c r="AG268" s="77"/>
      <c r="AH268" s="81"/>
      <c r="AI268" s="77"/>
      <c r="AJ268" s="82" t="str">
        <f t="shared" si="22"/>
        <v/>
      </c>
      <c r="AK268" s="83" t="str">
        <f t="shared" si="23"/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 t="shared" si="20"/>
        <v/>
      </c>
      <c r="AE269" s="80" t="str">
        <f t="shared" si="21"/>
        <v/>
      </c>
      <c r="AF269" s="81"/>
      <c r="AG269" s="77"/>
      <c r="AH269" s="81"/>
      <c r="AI269" s="77"/>
      <c r="AJ269" s="82" t="str">
        <f t="shared" si="22"/>
        <v/>
      </c>
      <c r="AK269" s="83" t="str">
        <f t="shared" si="23"/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 t="shared" si="20"/>
        <v/>
      </c>
      <c r="AE270" s="80" t="str">
        <f t="shared" si="21"/>
        <v/>
      </c>
      <c r="AF270" s="81"/>
      <c r="AG270" s="77"/>
      <c r="AH270" s="81"/>
      <c r="AI270" s="77"/>
      <c r="AJ270" s="82" t="str">
        <f t="shared" si="22"/>
        <v/>
      </c>
      <c r="AK270" s="83" t="str">
        <f t="shared" si="23"/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 t="shared" si="20"/>
        <v/>
      </c>
      <c r="AE271" s="80" t="str">
        <f t="shared" si="21"/>
        <v/>
      </c>
      <c r="AF271" s="81"/>
      <c r="AG271" s="77"/>
      <c r="AH271" s="81"/>
      <c r="AI271" s="77"/>
      <c r="AJ271" s="82" t="str">
        <f t="shared" si="22"/>
        <v/>
      </c>
      <c r="AK271" s="83" t="str">
        <f t="shared" si="23"/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 t="shared" si="20"/>
        <v/>
      </c>
      <c r="AE272" s="80" t="str">
        <f t="shared" si="21"/>
        <v/>
      </c>
      <c r="AF272" s="81"/>
      <c r="AG272" s="77"/>
      <c r="AH272" s="81"/>
      <c r="AI272" s="77"/>
      <c r="AJ272" s="82" t="str">
        <f t="shared" si="22"/>
        <v/>
      </c>
      <c r="AK272" s="83" t="str">
        <f t="shared" si="23"/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 t="shared" si="20"/>
        <v/>
      </c>
      <c r="AE273" s="80" t="str">
        <f t="shared" si="21"/>
        <v/>
      </c>
      <c r="AF273" s="81"/>
      <c r="AG273" s="77"/>
      <c r="AH273" s="81"/>
      <c r="AI273" s="77"/>
      <c r="AJ273" s="82" t="str">
        <f t="shared" si="22"/>
        <v/>
      </c>
      <c r="AK273" s="83" t="str">
        <f t="shared" si="23"/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 t="shared" si="20"/>
        <v/>
      </c>
      <c r="AE274" s="80" t="str">
        <f t="shared" si="21"/>
        <v/>
      </c>
      <c r="AF274" s="81"/>
      <c r="AG274" s="77"/>
      <c r="AH274" s="81"/>
      <c r="AI274" s="77"/>
      <c r="AJ274" s="82" t="str">
        <f t="shared" si="22"/>
        <v/>
      </c>
      <c r="AK274" s="83" t="str">
        <f t="shared" si="23"/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 t="shared" si="20"/>
        <v/>
      </c>
      <c r="AE275" s="80" t="str">
        <f t="shared" si="21"/>
        <v/>
      </c>
      <c r="AF275" s="81"/>
      <c r="AG275" s="77"/>
      <c r="AH275" s="81"/>
      <c r="AI275" s="77"/>
      <c r="AJ275" s="82" t="str">
        <f t="shared" si="22"/>
        <v/>
      </c>
      <c r="AK275" s="83" t="str">
        <f t="shared" si="23"/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 t="shared" si="20"/>
        <v/>
      </c>
      <c r="AE276" s="80" t="str">
        <f t="shared" si="21"/>
        <v/>
      </c>
      <c r="AF276" s="81"/>
      <c r="AG276" s="77"/>
      <c r="AH276" s="81"/>
      <c r="AI276" s="77"/>
      <c r="AJ276" s="82" t="str">
        <f t="shared" si="22"/>
        <v/>
      </c>
      <c r="AK276" s="83" t="str">
        <f t="shared" si="23"/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 t="shared" si="20"/>
        <v/>
      </c>
      <c r="AE277" s="80" t="str">
        <f t="shared" si="21"/>
        <v/>
      </c>
      <c r="AF277" s="81"/>
      <c r="AG277" s="77"/>
      <c r="AH277" s="81"/>
      <c r="AI277" s="77"/>
      <c r="AJ277" s="82" t="str">
        <f t="shared" si="22"/>
        <v/>
      </c>
      <c r="AK277" s="83" t="str">
        <f t="shared" si="23"/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 t="shared" si="20"/>
        <v/>
      </c>
      <c r="AE278" s="80" t="str">
        <f t="shared" si="21"/>
        <v/>
      </c>
      <c r="AF278" s="81"/>
      <c r="AG278" s="77"/>
      <c r="AH278" s="81"/>
      <c r="AI278" s="77"/>
      <c r="AJ278" s="82" t="str">
        <f t="shared" si="22"/>
        <v/>
      </c>
      <c r="AK278" s="83" t="str">
        <f t="shared" si="23"/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 t="shared" si="20"/>
        <v/>
      </c>
      <c r="AE279" s="80" t="str">
        <f t="shared" si="21"/>
        <v/>
      </c>
      <c r="AF279" s="81"/>
      <c r="AG279" s="77"/>
      <c r="AH279" s="81"/>
      <c r="AI279" s="77"/>
      <c r="AJ279" s="82" t="str">
        <f t="shared" si="22"/>
        <v/>
      </c>
      <c r="AK279" s="83" t="str">
        <f t="shared" si="23"/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 t="shared" si="20"/>
        <v/>
      </c>
      <c r="AE280" s="80" t="str">
        <f t="shared" si="21"/>
        <v/>
      </c>
      <c r="AF280" s="81"/>
      <c r="AG280" s="77"/>
      <c r="AH280" s="81"/>
      <c r="AI280" s="77"/>
      <c r="AJ280" s="82" t="str">
        <f t="shared" si="22"/>
        <v/>
      </c>
      <c r="AK280" s="83" t="str">
        <f t="shared" si="23"/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 t="shared" si="20"/>
        <v/>
      </c>
      <c r="AE281" s="80" t="str">
        <f t="shared" si="21"/>
        <v/>
      </c>
      <c r="AF281" s="81"/>
      <c r="AG281" s="77"/>
      <c r="AH281" s="81"/>
      <c r="AI281" s="77"/>
      <c r="AJ281" s="82" t="str">
        <f t="shared" si="22"/>
        <v/>
      </c>
      <c r="AK281" s="83" t="str">
        <f t="shared" si="23"/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 t="shared" si="20"/>
        <v/>
      </c>
      <c r="AE282" s="80" t="str">
        <f t="shared" si="21"/>
        <v/>
      </c>
      <c r="AF282" s="81"/>
      <c r="AG282" s="77"/>
      <c r="AH282" s="81"/>
      <c r="AI282" s="77"/>
      <c r="AJ282" s="82" t="str">
        <f t="shared" si="22"/>
        <v/>
      </c>
      <c r="AK282" s="83" t="str">
        <f t="shared" si="23"/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 t="shared" si="20"/>
        <v/>
      </c>
      <c r="AE283" s="80" t="str">
        <f t="shared" si="21"/>
        <v/>
      </c>
      <c r="AF283" s="81"/>
      <c r="AG283" s="77"/>
      <c r="AH283" s="81"/>
      <c r="AI283" s="77"/>
      <c r="AJ283" s="82" t="str">
        <f t="shared" si="22"/>
        <v/>
      </c>
      <c r="AK283" s="83" t="str">
        <f t="shared" si="23"/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 t="shared" si="20"/>
        <v/>
      </c>
      <c r="AE284" s="80" t="str">
        <f t="shared" si="21"/>
        <v/>
      </c>
      <c r="AF284" s="81"/>
      <c r="AG284" s="77"/>
      <c r="AH284" s="81"/>
      <c r="AI284" s="77"/>
      <c r="AJ284" s="82" t="str">
        <f t="shared" si="22"/>
        <v/>
      </c>
      <c r="AK284" s="83" t="str">
        <f t="shared" si="23"/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 t="shared" si="20"/>
        <v/>
      </c>
      <c r="AE285" s="80" t="str">
        <f t="shared" si="21"/>
        <v/>
      </c>
      <c r="AF285" s="81"/>
      <c r="AG285" s="77"/>
      <c r="AH285" s="81"/>
      <c r="AI285" s="77"/>
      <c r="AJ285" s="82" t="str">
        <f t="shared" si="22"/>
        <v/>
      </c>
      <c r="AK285" s="83" t="str">
        <f t="shared" si="23"/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 t="shared" si="20"/>
        <v/>
      </c>
      <c r="AE286" s="80" t="str">
        <f t="shared" si="21"/>
        <v/>
      </c>
      <c r="AF286" s="81"/>
      <c r="AG286" s="77"/>
      <c r="AH286" s="81"/>
      <c r="AI286" s="77"/>
      <c r="AJ286" s="82" t="str">
        <f t="shared" si="22"/>
        <v/>
      </c>
      <c r="AK286" s="83" t="str">
        <f t="shared" si="23"/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 t="shared" si="20"/>
        <v/>
      </c>
      <c r="AE287" s="80" t="str">
        <f t="shared" si="21"/>
        <v/>
      </c>
      <c r="AF287" s="81"/>
      <c r="AG287" s="77"/>
      <c r="AH287" s="81"/>
      <c r="AI287" s="77"/>
      <c r="AJ287" s="82" t="str">
        <f t="shared" si="22"/>
        <v/>
      </c>
      <c r="AK287" s="83" t="str">
        <f t="shared" si="23"/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 t="shared" si="20"/>
        <v/>
      </c>
      <c r="AE288" s="80" t="str">
        <f t="shared" si="21"/>
        <v/>
      </c>
      <c r="AF288" s="81"/>
      <c r="AG288" s="77"/>
      <c r="AH288" s="81"/>
      <c r="AI288" s="77"/>
      <c r="AJ288" s="82" t="str">
        <f t="shared" si="22"/>
        <v/>
      </c>
      <c r="AK288" s="83" t="str">
        <f t="shared" si="23"/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 t="shared" si="20"/>
        <v/>
      </c>
      <c r="AE289" s="80" t="str">
        <f t="shared" si="21"/>
        <v/>
      </c>
      <c r="AF289" s="81"/>
      <c r="AG289" s="77"/>
      <c r="AH289" s="81"/>
      <c r="AI289" s="77"/>
      <c r="AJ289" s="82" t="str">
        <f t="shared" si="22"/>
        <v/>
      </c>
      <c r="AK289" s="83" t="str">
        <f t="shared" si="23"/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 t="shared" si="20"/>
        <v/>
      </c>
      <c r="AE290" s="80" t="str">
        <f t="shared" si="21"/>
        <v/>
      </c>
      <c r="AF290" s="81"/>
      <c r="AG290" s="77"/>
      <c r="AH290" s="81"/>
      <c r="AI290" s="77"/>
      <c r="AJ290" s="82" t="str">
        <f t="shared" si="22"/>
        <v/>
      </c>
      <c r="AK290" s="83" t="str">
        <f t="shared" si="23"/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 t="shared" si="20"/>
        <v/>
      </c>
      <c r="AE291" s="80" t="str">
        <f t="shared" si="21"/>
        <v/>
      </c>
      <c r="AF291" s="81"/>
      <c r="AG291" s="77"/>
      <c r="AH291" s="81"/>
      <c r="AI291" s="77"/>
      <c r="AJ291" s="82" t="str">
        <f t="shared" si="22"/>
        <v/>
      </c>
      <c r="AK291" s="83" t="str">
        <f t="shared" si="23"/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 t="shared" si="20"/>
        <v/>
      </c>
      <c r="AE292" s="80" t="str">
        <f t="shared" si="21"/>
        <v/>
      </c>
      <c r="AF292" s="81"/>
      <c r="AG292" s="77"/>
      <c r="AH292" s="81"/>
      <c r="AI292" s="77"/>
      <c r="AJ292" s="82" t="str">
        <f t="shared" si="22"/>
        <v/>
      </c>
      <c r="AK292" s="83" t="str">
        <f t="shared" si="23"/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 t="shared" si="20"/>
        <v/>
      </c>
      <c r="AE293" s="80" t="str">
        <f t="shared" si="21"/>
        <v/>
      </c>
      <c r="AF293" s="81"/>
      <c r="AG293" s="77"/>
      <c r="AH293" s="81"/>
      <c r="AI293" s="77"/>
      <c r="AJ293" s="82" t="str">
        <f t="shared" si="22"/>
        <v/>
      </c>
      <c r="AK293" s="83" t="str">
        <f t="shared" si="23"/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 t="shared" si="20"/>
        <v/>
      </c>
      <c r="AE294" s="80" t="str">
        <f t="shared" si="21"/>
        <v/>
      </c>
      <c r="AF294" s="81"/>
      <c r="AG294" s="77"/>
      <c r="AH294" s="81"/>
      <c r="AI294" s="77"/>
      <c r="AJ294" s="82" t="str">
        <f t="shared" si="22"/>
        <v/>
      </c>
      <c r="AK294" s="83" t="str">
        <f t="shared" si="23"/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 t="shared" si="20"/>
        <v/>
      </c>
      <c r="AE295" s="80" t="str">
        <f t="shared" si="21"/>
        <v/>
      </c>
      <c r="AF295" s="81"/>
      <c r="AG295" s="77"/>
      <c r="AH295" s="81"/>
      <c r="AI295" s="77"/>
      <c r="AJ295" s="82" t="str">
        <f t="shared" si="22"/>
        <v/>
      </c>
      <c r="AK295" s="83" t="str">
        <f t="shared" si="23"/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 t="shared" si="20"/>
        <v/>
      </c>
      <c r="AE296" s="80" t="str">
        <f t="shared" si="21"/>
        <v/>
      </c>
      <c r="AF296" s="81"/>
      <c r="AG296" s="77"/>
      <c r="AH296" s="81"/>
      <c r="AI296" s="77"/>
      <c r="AJ296" s="82" t="str">
        <f t="shared" si="22"/>
        <v/>
      </c>
      <c r="AK296" s="83" t="str">
        <f t="shared" si="23"/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 t="shared" si="20"/>
        <v/>
      </c>
      <c r="AE297" s="80" t="str">
        <f t="shared" si="21"/>
        <v/>
      </c>
      <c r="AF297" s="81"/>
      <c r="AG297" s="77"/>
      <c r="AH297" s="81"/>
      <c r="AI297" s="77"/>
      <c r="AJ297" s="82" t="str">
        <f t="shared" si="22"/>
        <v/>
      </c>
      <c r="AK297" s="83" t="str">
        <f t="shared" si="23"/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 t="shared" si="20"/>
        <v/>
      </c>
      <c r="AE298" s="80" t="str">
        <f t="shared" si="21"/>
        <v/>
      </c>
      <c r="AF298" s="81"/>
      <c r="AG298" s="77"/>
      <c r="AH298" s="81"/>
      <c r="AI298" s="77"/>
      <c r="AJ298" s="82" t="str">
        <f t="shared" si="22"/>
        <v/>
      </c>
      <c r="AK298" s="83" t="str">
        <f t="shared" si="23"/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 t="shared" si="20"/>
        <v/>
      </c>
      <c r="AE299" s="80" t="str">
        <f t="shared" si="21"/>
        <v/>
      </c>
      <c r="AF299" s="81"/>
      <c r="AG299" s="77"/>
      <c r="AH299" s="81"/>
      <c r="AI299" s="77"/>
      <c r="AJ299" s="82" t="str">
        <f t="shared" si="22"/>
        <v/>
      </c>
      <c r="AK299" s="83" t="str">
        <f t="shared" si="23"/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 t="shared" si="20"/>
        <v/>
      </c>
      <c r="AE300" s="80" t="str">
        <f t="shared" si="21"/>
        <v/>
      </c>
      <c r="AF300" s="81"/>
      <c r="AG300" s="77"/>
      <c r="AH300" s="81"/>
      <c r="AI300" s="77"/>
      <c r="AJ300" s="82" t="str">
        <f t="shared" si="22"/>
        <v/>
      </c>
      <c r="AK300" s="83" t="str">
        <f t="shared" si="23"/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 t="shared" si="20"/>
        <v/>
      </c>
      <c r="AE301" s="80" t="str">
        <f t="shared" si="21"/>
        <v/>
      </c>
      <c r="AF301" s="81"/>
      <c r="AG301" s="77"/>
      <c r="AH301" s="81"/>
      <c r="AI301" s="77"/>
      <c r="AJ301" s="82" t="str">
        <f t="shared" si="22"/>
        <v/>
      </c>
      <c r="AK301" s="83" t="str">
        <f t="shared" si="23"/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 t="shared" si="20"/>
        <v/>
      </c>
      <c r="AE302" s="80" t="str">
        <f t="shared" si="21"/>
        <v/>
      </c>
      <c r="AF302" s="81"/>
      <c r="AG302" s="77"/>
      <c r="AH302" s="81"/>
      <c r="AI302" s="77"/>
      <c r="AJ302" s="82" t="str">
        <f t="shared" si="22"/>
        <v/>
      </c>
      <c r="AK302" s="83" t="str">
        <f t="shared" si="23"/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 t="shared" si="20"/>
        <v/>
      </c>
      <c r="AE303" s="80" t="str">
        <f t="shared" si="21"/>
        <v/>
      </c>
      <c r="AF303" s="81"/>
      <c r="AG303" s="77"/>
      <c r="AH303" s="81"/>
      <c r="AI303" s="77"/>
      <c r="AJ303" s="82" t="str">
        <f t="shared" si="22"/>
        <v/>
      </c>
      <c r="AK303" s="83" t="str">
        <f t="shared" si="23"/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 t="shared" si="20"/>
        <v/>
      </c>
      <c r="AE304" s="80" t="str">
        <f t="shared" si="21"/>
        <v/>
      </c>
      <c r="AF304" s="81"/>
      <c r="AG304" s="77"/>
      <c r="AH304" s="81"/>
      <c r="AI304" s="77"/>
      <c r="AJ304" s="82" t="str">
        <f t="shared" si="22"/>
        <v/>
      </c>
      <c r="AK304" s="83" t="str">
        <f t="shared" si="23"/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 t="shared" si="20"/>
        <v/>
      </c>
      <c r="AE305" s="80" t="str">
        <f t="shared" si="21"/>
        <v/>
      </c>
      <c r="AF305" s="81"/>
      <c r="AG305" s="77"/>
      <c r="AH305" s="81"/>
      <c r="AI305" s="77"/>
      <c r="AJ305" s="82" t="str">
        <f t="shared" si="22"/>
        <v/>
      </c>
      <c r="AK305" s="83" t="str">
        <f t="shared" si="23"/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 t="shared" si="20"/>
        <v/>
      </c>
      <c r="AE306" s="80" t="str">
        <f t="shared" si="21"/>
        <v/>
      </c>
      <c r="AF306" s="81"/>
      <c r="AG306" s="77"/>
      <c r="AH306" s="81"/>
      <c r="AI306" s="77"/>
      <c r="AJ306" s="82" t="str">
        <f t="shared" si="22"/>
        <v/>
      </c>
      <c r="AK306" s="83" t="str">
        <f t="shared" si="23"/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 t="shared" si="20"/>
        <v/>
      </c>
      <c r="AE307" s="80" t="str">
        <f t="shared" si="21"/>
        <v/>
      </c>
      <c r="AF307" s="81"/>
      <c r="AG307" s="77"/>
      <c r="AH307" s="81"/>
      <c r="AI307" s="77"/>
      <c r="AJ307" s="82" t="str">
        <f t="shared" si="22"/>
        <v/>
      </c>
      <c r="AK307" s="83" t="str">
        <f t="shared" si="23"/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 t="shared" si="20"/>
        <v/>
      </c>
      <c r="AE308" s="80" t="str">
        <f t="shared" si="21"/>
        <v/>
      </c>
      <c r="AF308" s="81"/>
      <c r="AG308" s="77"/>
      <c r="AH308" s="81"/>
      <c r="AI308" s="77"/>
      <c r="AJ308" s="82" t="str">
        <f t="shared" si="22"/>
        <v/>
      </c>
      <c r="AK308" s="83" t="str">
        <f t="shared" si="23"/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 t="shared" si="20"/>
        <v/>
      </c>
      <c r="AE309" s="80" t="str">
        <f t="shared" si="21"/>
        <v/>
      </c>
      <c r="AF309" s="81"/>
      <c r="AG309" s="77"/>
      <c r="AH309" s="81"/>
      <c r="AI309" s="77"/>
      <c r="AJ309" s="82" t="str">
        <f t="shared" si="22"/>
        <v/>
      </c>
      <c r="AK309" s="83" t="str">
        <f t="shared" si="23"/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 t="shared" si="20"/>
        <v/>
      </c>
      <c r="AE310" s="80" t="str">
        <f t="shared" si="21"/>
        <v/>
      </c>
      <c r="AF310" s="81"/>
      <c r="AG310" s="77"/>
      <c r="AH310" s="81"/>
      <c r="AI310" s="77"/>
      <c r="AJ310" s="82" t="str">
        <f t="shared" si="22"/>
        <v/>
      </c>
      <c r="AK310" s="83" t="str">
        <f t="shared" si="23"/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 t="shared" si="20"/>
        <v/>
      </c>
      <c r="AE311" s="80" t="str">
        <f t="shared" si="21"/>
        <v/>
      </c>
      <c r="AF311" s="81"/>
      <c r="AG311" s="77"/>
      <c r="AH311" s="81"/>
      <c r="AI311" s="77"/>
      <c r="AJ311" s="82" t="str">
        <f t="shared" si="22"/>
        <v/>
      </c>
      <c r="AK311" s="83" t="str">
        <f t="shared" si="23"/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 t="shared" si="20"/>
        <v/>
      </c>
      <c r="AE312" s="80" t="str">
        <f t="shared" si="21"/>
        <v/>
      </c>
      <c r="AF312" s="81"/>
      <c r="AG312" s="77"/>
      <c r="AH312" s="81"/>
      <c r="AI312" s="77"/>
      <c r="AJ312" s="82" t="str">
        <f t="shared" si="22"/>
        <v/>
      </c>
      <c r="AK312" s="83" t="str">
        <f t="shared" si="23"/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 t="shared" si="20"/>
        <v/>
      </c>
      <c r="AE313" s="80" t="str">
        <f t="shared" si="21"/>
        <v/>
      </c>
      <c r="AF313" s="81"/>
      <c r="AG313" s="77"/>
      <c r="AH313" s="81"/>
      <c r="AI313" s="77"/>
      <c r="AJ313" s="82" t="str">
        <f t="shared" si="22"/>
        <v/>
      </c>
      <c r="AK313" s="83" t="str">
        <f t="shared" si="23"/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 t="shared" si="20"/>
        <v/>
      </c>
      <c r="AE314" s="80" t="str">
        <f t="shared" si="21"/>
        <v/>
      </c>
      <c r="AF314" s="81"/>
      <c r="AG314" s="77"/>
      <c r="AH314" s="81"/>
      <c r="AI314" s="77"/>
      <c r="AJ314" s="82" t="str">
        <f t="shared" si="22"/>
        <v/>
      </c>
      <c r="AK314" s="83" t="str">
        <f t="shared" si="23"/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 t="shared" si="20"/>
        <v/>
      </c>
      <c r="AE315" s="80" t="str">
        <f t="shared" si="21"/>
        <v/>
      </c>
      <c r="AF315" s="81"/>
      <c r="AG315" s="77"/>
      <c r="AH315" s="81"/>
      <c r="AI315" s="77"/>
      <c r="AJ315" s="82" t="str">
        <f t="shared" si="22"/>
        <v/>
      </c>
      <c r="AK315" s="83" t="str">
        <f t="shared" si="23"/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 t="shared" si="20"/>
        <v/>
      </c>
      <c r="AE316" s="80" t="str">
        <f t="shared" si="21"/>
        <v/>
      </c>
      <c r="AF316" s="81"/>
      <c r="AG316" s="77"/>
      <c r="AH316" s="81"/>
      <c r="AI316" s="77"/>
      <c r="AJ316" s="82" t="str">
        <f t="shared" si="22"/>
        <v/>
      </c>
      <c r="AK316" s="83" t="str">
        <f t="shared" si="23"/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 t="shared" si="20"/>
        <v/>
      </c>
      <c r="AE317" s="80" t="str">
        <f t="shared" si="21"/>
        <v/>
      </c>
      <c r="AF317" s="81"/>
      <c r="AG317" s="77"/>
      <c r="AH317" s="81"/>
      <c r="AI317" s="77"/>
      <c r="AJ317" s="82" t="str">
        <f t="shared" si="22"/>
        <v/>
      </c>
      <c r="AK317" s="83" t="str">
        <f t="shared" si="23"/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 t="shared" si="20"/>
        <v/>
      </c>
      <c r="AE318" s="80" t="str">
        <f t="shared" si="21"/>
        <v/>
      </c>
      <c r="AF318" s="81"/>
      <c r="AG318" s="77"/>
      <c r="AH318" s="81"/>
      <c r="AI318" s="77"/>
      <c r="AJ318" s="82" t="str">
        <f t="shared" si="22"/>
        <v/>
      </c>
      <c r="AK318" s="83" t="str">
        <f t="shared" si="23"/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 t="shared" si="20"/>
        <v/>
      </c>
      <c r="AE319" s="80" t="str">
        <f t="shared" si="21"/>
        <v/>
      </c>
      <c r="AF319" s="81"/>
      <c r="AG319" s="77"/>
      <c r="AH319" s="81"/>
      <c r="AI319" s="77"/>
      <c r="AJ319" s="82" t="str">
        <f t="shared" si="22"/>
        <v/>
      </c>
      <c r="AK319" s="83" t="str">
        <f t="shared" si="23"/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 t="shared" si="20"/>
        <v/>
      </c>
      <c r="AE320" s="80" t="str">
        <f t="shared" si="21"/>
        <v/>
      </c>
      <c r="AF320" s="81"/>
      <c r="AG320" s="77"/>
      <c r="AH320" s="81"/>
      <c r="AI320" s="77"/>
      <c r="AJ320" s="82" t="str">
        <f t="shared" si="22"/>
        <v/>
      </c>
      <c r="AK320" s="83" t="str">
        <f t="shared" si="23"/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 t="shared" si="20"/>
        <v/>
      </c>
      <c r="AE321" s="80" t="str">
        <f t="shared" si="21"/>
        <v/>
      </c>
      <c r="AF321" s="81"/>
      <c r="AG321" s="77"/>
      <c r="AH321" s="81"/>
      <c r="AI321" s="77"/>
      <c r="AJ321" s="82" t="str">
        <f t="shared" si="22"/>
        <v/>
      </c>
      <c r="AK321" s="83" t="str">
        <f t="shared" si="23"/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 t="shared" si="20"/>
        <v/>
      </c>
      <c r="AE322" s="80" t="str">
        <f t="shared" si="21"/>
        <v/>
      </c>
      <c r="AF322" s="81"/>
      <c r="AG322" s="77"/>
      <c r="AH322" s="81"/>
      <c r="AI322" s="77"/>
      <c r="AJ322" s="82" t="str">
        <f t="shared" si="22"/>
        <v/>
      </c>
      <c r="AK322" s="83" t="str">
        <f t="shared" si="23"/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 t="shared" si="20"/>
        <v/>
      </c>
      <c r="AE323" s="80" t="str">
        <f t="shared" si="21"/>
        <v/>
      </c>
      <c r="AF323" s="81"/>
      <c r="AG323" s="77"/>
      <c r="AH323" s="81"/>
      <c r="AI323" s="77"/>
      <c r="AJ323" s="82" t="str">
        <f t="shared" si="22"/>
        <v/>
      </c>
      <c r="AK323" s="83" t="str">
        <f t="shared" si="23"/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 t="shared" ref="AD324:AD350" si="24">IF(MIN(F324,J324,N324,R324,V324,Z324)&lt;&gt;0,MIN(F324,J324,N324,R324,V324,Z324),"")</f>
        <v/>
      </c>
      <c r="AE324" s="80" t="str">
        <f t="shared" ref="AE324:AE350" si="25">IF(MIN(H324,L324,P324,T324,X324,AB324)&lt;&gt;0,MIN(H324,L324,P324,T324,X324,AB324),"")</f>
        <v/>
      </c>
      <c r="AF324" s="81"/>
      <c r="AG324" s="77"/>
      <c r="AH324" s="81"/>
      <c r="AI324" s="77"/>
      <c r="AJ324" s="82" t="str">
        <f t="shared" ref="AJ324:AJ350" si="26">IF(AD324="","",IF(ISBLANK(AF324),"En cours",AD324+AF324))</f>
        <v/>
      </c>
      <c r="AK324" s="83" t="str">
        <f t="shared" ref="AK324:AK350" si="27"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 t="shared" si="24"/>
        <v/>
      </c>
      <c r="AE325" s="80" t="str">
        <f t="shared" si="25"/>
        <v/>
      </c>
      <c r="AF325" s="81"/>
      <c r="AG325" s="77"/>
      <c r="AH325" s="81"/>
      <c r="AI325" s="77"/>
      <c r="AJ325" s="82" t="str">
        <f t="shared" si="26"/>
        <v/>
      </c>
      <c r="AK325" s="83" t="str">
        <f t="shared" si="27"/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 t="shared" si="24"/>
        <v/>
      </c>
      <c r="AE326" s="80" t="str">
        <f t="shared" si="25"/>
        <v/>
      </c>
      <c r="AF326" s="81"/>
      <c r="AG326" s="77"/>
      <c r="AH326" s="81"/>
      <c r="AI326" s="77"/>
      <c r="AJ326" s="82" t="str">
        <f t="shared" si="26"/>
        <v/>
      </c>
      <c r="AK326" s="83" t="str">
        <f t="shared" si="27"/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 t="shared" si="24"/>
        <v/>
      </c>
      <c r="AE327" s="80" t="str">
        <f t="shared" si="25"/>
        <v/>
      </c>
      <c r="AF327" s="81"/>
      <c r="AG327" s="77"/>
      <c r="AH327" s="81"/>
      <c r="AI327" s="77"/>
      <c r="AJ327" s="82" t="str">
        <f t="shared" si="26"/>
        <v/>
      </c>
      <c r="AK327" s="83" t="str">
        <f t="shared" si="27"/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 t="shared" si="24"/>
        <v/>
      </c>
      <c r="AE328" s="80" t="str">
        <f t="shared" si="25"/>
        <v/>
      </c>
      <c r="AF328" s="81"/>
      <c r="AG328" s="77"/>
      <c r="AH328" s="81"/>
      <c r="AI328" s="77"/>
      <c r="AJ328" s="82" t="str">
        <f t="shared" si="26"/>
        <v/>
      </c>
      <c r="AK328" s="83" t="str">
        <f t="shared" si="27"/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 t="shared" si="24"/>
        <v/>
      </c>
      <c r="AE329" s="80" t="str">
        <f t="shared" si="25"/>
        <v/>
      </c>
      <c r="AF329" s="81"/>
      <c r="AG329" s="77"/>
      <c r="AH329" s="81"/>
      <c r="AI329" s="77"/>
      <c r="AJ329" s="82" t="str">
        <f t="shared" si="26"/>
        <v/>
      </c>
      <c r="AK329" s="83" t="str">
        <f t="shared" si="27"/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 t="shared" si="24"/>
        <v/>
      </c>
      <c r="AE330" s="80" t="str">
        <f t="shared" si="25"/>
        <v/>
      </c>
      <c r="AF330" s="81"/>
      <c r="AG330" s="77"/>
      <c r="AH330" s="81"/>
      <c r="AI330" s="77"/>
      <c r="AJ330" s="82" t="str">
        <f t="shared" si="26"/>
        <v/>
      </c>
      <c r="AK330" s="83" t="str">
        <f t="shared" si="27"/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 t="shared" si="24"/>
        <v/>
      </c>
      <c r="AE331" s="80" t="str">
        <f t="shared" si="25"/>
        <v/>
      </c>
      <c r="AF331" s="81"/>
      <c r="AG331" s="77"/>
      <c r="AH331" s="81"/>
      <c r="AI331" s="77"/>
      <c r="AJ331" s="82" t="str">
        <f t="shared" si="26"/>
        <v/>
      </c>
      <c r="AK331" s="83" t="str">
        <f t="shared" si="27"/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 t="shared" si="24"/>
        <v/>
      </c>
      <c r="AE332" s="80" t="str">
        <f t="shared" si="25"/>
        <v/>
      </c>
      <c r="AF332" s="81"/>
      <c r="AG332" s="77"/>
      <c r="AH332" s="81"/>
      <c r="AI332" s="77"/>
      <c r="AJ332" s="82" t="str">
        <f t="shared" si="26"/>
        <v/>
      </c>
      <c r="AK332" s="83" t="str">
        <f t="shared" si="27"/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 t="shared" si="24"/>
        <v/>
      </c>
      <c r="AE333" s="80" t="str">
        <f t="shared" si="25"/>
        <v/>
      </c>
      <c r="AF333" s="81"/>
      <c r="AG333" s="77"/>
      <c r="AH333" s="81"/>
      <c r="AI333" s="77"/>
      <c r="AJ333" s="82" t="str">
        <f t="shared" si="26"/>
        <v/>
      </c>
      <c r="AK333" s="83" t="str">
        <f t="shared" si="27"/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 t="shared" si="24"/>
        <v/>
      </c>
      <c r="AE334" s="80" t="str">
        <f t="shared" si="25"/>
        <v/>
      </c>
      <c r="AF334" s="81"/>
      <c r="AG334" s="77"/>
      <c r="AH334" s="81"/>
      <c r="AI334" s="77"/>
      <c r="AJ334" s="82" t="str">
        <f t="shared" si="26"/>
        <v/>
      </c>
      <c r="AK334" s="83" t="str">
        <f t="shared" si="27"/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 t="shared" si="24"/>
        <v/>
      </c>
      <c r="AE335" s="80" t="str">
        <f t="shared" si="25"/>
        <v/>
      </c>
      <c r="AF335" s="81"/>
      <c r="AG335" s="77"/>
      <c r="AH335" s="81"/>
      <c r="AI335" s="77"/>
      <c r="AJ335" s="82" t="str">
        <f t="shared" si="26"/>
        <v/>
      </c>
      <c r="AK335" s="83" t="str">
        <f t="shared" si="27"/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 t="shared" si="24"/>
        <v/>
      </c>
      <c r="AE336" s="80" t="str">
        <f t="shared" si="25"/>
        <v/>
      </c>
      <c r="AF336" s="81"/>
      <c r="AG336" s="77"/>
      <c r="AH336" s="81"/>
      <c r="AI336" s="77"/>
      <c r="AJ336" s="82" t="str">
        <f t="shared" si="26"/>
        <v/>
      </c>
      <c r="AK336" s="83" t="str">
        <f t="shared" si="27"/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 t="shared" si="24"/>
        <v/>
      </c>
      <c r="AE337" s="80" t="str">
        <f t="shared" si="25"/>
        <v/>
      </c>
      <c r="AF337" s="81"/>
      <c r="AG337" s="77"/>
      <c r="AH337" s="81"/>
      <c r="AI337" s="77"/>
      <c r="AJ337" s="82" t="str">
        <f t="shared" si="26"/>
        <v/>
      </c>
      <c r="AK337" s="83" t="str">
        <f t="shared" si="27"/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 t="shared" si="24"/>
        <v/>
      </c>
      <c r="AE338" s="80" t="str">
        <f t="shared" si="25"/>
        <v/>
      </c>
      <c r="AF338" s="81"/>
      <c r="AG338" s="77"/>
      <c r="AH338" s="81"/>
      <c r="AI338" s="77"/>
      <c r="AJ338" s="82" t="str">
        <f t="shared" si="26"/>
        <v/>
      </c>
      <c r="AK338" s="83" t="str">
        <f t="shared" si="27"/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 t="shared" si="24"/>
        <v/>
      </c>
      <c r="AE339" s="80" t="str">
        <f t="shared" si="25"/>
        <v/>
      </c>
      <c r="AF339" s="81"/>
      <c r="AG339" s="77"/>
      <c r="AH339" s="81"/>
      <c r="AI339" s="77"/>
      <c r="AJ339" s="82" t="str">
        <f t="shared" si="26"/>
        <v/>
      </c>
      <c r="AK339" s="83" t="str">
        <f t="shared" si="27"/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 t="shared" si="24"/>
        <v/>
      </c>
      <c r="AE340" s="80" t="str">
        <f t="shared" si="25"/>
        <v/>
      </c>
      <c r="AF340" s="81"/>
      <c r="AG340" s="77"/>
      <c r="AH340" s="81"/>
      <c r="AI340" s="77"/>
      <c r="AJ340" s="82" t="str">
        <f t="shared" si="26"/>
        <v/>
      </c>
      <c r="AK340" s="83" t="str">
        <f t="shared" si="27"/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 t="shared" si="24"/>
        <v/>
      </c>
      <c r="AE341" s="80" t="str">
        <f t="shared" si="25"/>
        <v/>
      </c>
      <c r="AF341" s="81"/>
      <c r="AG341" s="77"/>
      <c r="AH341" s="81"/>
      <c r="AI341" s="77"/>
      <c r="AJ341" s="82" t="str">
        <f t="shared" si="26"/>
        <v/>
      </c>
      <c r="AK341" s="83" t="str">
        <f t="shared" si="27"/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 t="shared" si="24"/>
        <v/>
      </c>
      <c r="AE342" s="80" t="str">
        <f t="shared" si="25"/>
        <v/>
      </c>
      <c r="AF342" s="81"/>
      <c r="AG342" s="77"/>
      <c r="AH342" s="81"/>
      <c r="AI342" s="77"/>
      <c r="AJ342" s="82" t="str">
        <f t="shared" si="26"/>
        <v/>
      </c>
      <c r="AK342" s="83" t="str">
        <f t="shared" si="27"/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 t="shared" si="24"/>
        <v/>
      </c>
      <c r="AE343" s="80" t="str">
        <f t="shared" si="25"/>
        <v/>
      </c>
      <c r="AF343" s="81"/>
      <c r="AG343" s="77"/>
      <c r="AH343" s="81"/>
      <c r="AI343" s="77"/>
      <c r="AJ343" s="82" t="str">
        <f t="shared" si="26"/>
        <v/>
      </c>
      <c r="AK343" s="83" t="str">
        <f t="shared" si="27"/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 t="shared" si="24"/>
        <v/>
      </c>
      <c r="AE344" s="80" t="str">
        <f t="shared" si="25"/>
        <v/>
      </c>
      <c r="AF344" s="81"/>
      <c r="AG344" s="77"/>
      <c r="AH344" s="81"/>
      <c r="AI344" s="77"/>
      <c r="AJ344" s="82" t="str">
        <f t="shared" si="26"/>
        <v/>
      </c>
      <c r="AK344" s="83" t="str">
        <f t="shared" si="27"/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 t="shared" si="24"/>
        <v/>
      </c>
      <c r="AE345" s="80" t="str">
        <f t="shared" si="25"/>
        <v/>
      </c>
      <c r="AF345" s="81"/>
      <c r="AG345" s="77"/>
      <c r="AH345" s="81"/>
      <c r="AI345" s="77"/>
      <c r="AJ345" s="82" t="str">
        <f t="shared" si="26"/>
        <v/>
      </c>
      <c r="AK345" s="83" t="str">
        <f t="shared" si="27"/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 t="shared" si="24"/>
        <v/>
      </c>
      <c r="AE346" s="80" t="str">
        <f t="shared" si="25"/>
        <v/>
      </c>
      <c r="AF346" s="81"/>
      <c r="AG346" s="77"/>
      <c r="AH346" s="81"/>
      <c r="AI346" s="77"/>
      <c r="AJ346" s="82" t="str">
        <f t="shared" si="26"/>
        <v/>
      </c>
      <c r="AK346" s="83" t="str">
        <f t="shared" si="27"/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 t="shared" si="24"/>
        <v/>
      </c>
      <c r="AE347" s="80" t="str">
        <f t="shared" si="25"/>
        <v/>
      </c>
      <c r="AF347" s="81"/>
      <c r="AG347" s="77"/>
      <c r="AH347" s="81"/>
      <c r="AI347" s="77"/>
      <c r="AJ347" s="82" t="str">
        <f t="shared" si="26"/>
        <v/>
      </c>
      <c r="AK347" s="83" t="str">
        <f t="shared" si="27"/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 t="shared" si="24"/>
        <v/>
      </c>
      <c r="AE348" s="80" t="str">
        <f t="shared" si="25"/>
        <v/>
      </c>
      <c r="AF348" s="81"/>
      <c r="AG348" s="77"/>
      <c r="AH348" s="81"/>
      <c r="AI348" s="77"/>
      <c r="AJ348" s="82" t="str">
        <f t="shared" si="26"/>
        <v/>
      </c>
      <c r="AK348" s="83" t="str">
        <f t="shared" si="27"/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 t="shared" si="24"/>
        <v/>
      </c>
      <c r="AE349" s="80" t="str">
        <f t="shared" si="25"/>
        <v/>
      </c>
      <c r="AF349" s="81"/>
      <c r="AG349" s="77"/>
      <c r="AH349" s="81"/>
      <c r="AI349" s="77"/>
      <c r="AJ349" s="82" t="str">
        <f t="shared" si="26"/>
        <v/>
      </c>
      <c r="AK349" s="83" t="str">
        <f t="shared" si="27"/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 t="shared" si="24"/>
        <v/>
      </c>
      <c r="AE350" s="80" t="str">
        <f t="shared" si="25"/>
        <v/>
      </c>
      <c r="AF350" s="81"/>
      <c r="AG350" s="77"/>
      <c r="AH350" s="81"/>
      <c r="AI350" s="77"/>
      <c r="AJ350" s="82" t="str">
        <f t="shared" si="26"/>
        <v/>
      </c>
      <c r="AK350" s="83" t="str">
        <f t="shared" si="27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3" type="noConversion"/>
  <conditionalFormatting sqref="AJ178">
    <cfRule type="cellIs" dxfId="4691" priority="19757" stopIfTrue="1" operator="equal">
      <formula>"En cours"</formula>
    </cfRule>
  </conditionalFormatting>
  <conditionalFormatting sqref="AJ178">
    <cfRule type="cellIs" dxfId="4690" priority="19758" stopIfTrue="1" operator="notEqual">
      <formula>"En cours"</formula>
    </cfRule>
  </conditionalFormatting>
  <conditionalFormatting sqref="AK178">
    <cfRule type="cellIs" dxfId="4689" priority="19759" stopIfTrue="1" operator="equal">
      <formula>"En cours"</formula>
    </cfRule>
  </conditionalFormatting>
  <conditionalFormatting sqref="AK178">
    <cfRule type="cellIs" dxfId="4688" priority="19760" stopIfTrue="1" operator="notEqual">
      <formula>"En cours"</formula>
    </cfRule>
  </conditionalFormatting>
  <conditionalFormatting sqref="AJ177">
    <cfRule type="cellIs" dxfId="4687" priority="20525" stopIfTrue="1" operator="equal">
      <formula>"En cours"</formula>
    </cfRule>
  </conditionalFormatting>
  <conditionalFormatting sqref="AJ177">
    <cfRule type="cellIs" dxfId="4686" priority="20526" stopIfTrue="1" operator="notEqual">
      <formula>"En cours"</formula>
    </cfRule>
  </conditionalFormatting>
  <conditionalFormatting sqref="AK177">
    <cfRule type="cellIs" dxfId="4685" priority="20527" stopIfTrue="1" operator="equal">
      <formula>"En cours"</formula>
    </cfRule>
  </conditionalFormatting>
  <conditionalFormatting sqref="AK177">
    <cfRule type="cellIs" dxfId="4684" priority="20528" stopIfTrue="1" operator="notEqual">
      <formula>"En cours"</formula>
    </cfRule>
  </conditionalFormatting>
  <conditionalFormatting sqref="AJ176">
    <cfRule type="cellIs" dxfId="4683" priority="20733" stopIfTrue="1" operator="equal">
      <formula>"En cours"</formula>
    </cfRule>
  </conditionalFormatting>
  <conditionalFormatting sqref="AJ176">
    <cfRule type="cellIs" dxfId="4682" priority="20734" stopIfTrue="1" operator="notEqual">
      <formula>"En cours"</formula>
    </cfRule>
  </conditionalFormatting>
  <conditionalFormatting sqref="AK176">
    <cfRule type="cellIs" dxfId="4681" priority="20735" stopIfTrue="1" operator="equal">
      <formula>"En cours"</formula>
    </cfRule>
  </conditionalFormatting>
  <conditionalFormatting sqref="AK176">
    <cfRule type="cellIs" dxfId="4680" priority="20736" stopIfTrue="1" operator="notEqual">
      <formula>"En cours"</formula>
    </cfRule>
  </conditionalFormatting>
  <conditionalFormatting sqref="AJ179">
    <cfRule type="cellIs" dxfId="4679" priority="20981" stopIfTrue="1" operator="equal">
      <formula>"En cours"</formula>
    </cfRule>
  </conditionalFormatting>
  <conditionalFormatting sqref="AJ179">
    <cfRule type="cellIs" dxfId="4678" priority="20982" stopIfTrue="1" operator="notEqual">
      <formula>"En cours"</formula>
    </cfRule>
  </conditionalFormatting>
  <conditionalFormatting sqref="AK179">
    <cfRule type="cellIs" dxfId="4677" priority="20983" stopIfTrue="1" operator="equal">
      <formula>"En cours"</formula>
    </cfRule>
  </conditionalFormatting>
  <conditionalFormatting sqref="AK179">
    <cfRule type="cellIs" dxfId="4676" priority="20984" stopIfTrue="1" operator="notEqual">
      <formula>"En cours"</formula>
    </cfRule>
  </conditionalFormatting>
  <conditionalFormatting sqref="AJ139">
    <cfRule type="cellIs" dxfId="4675" priority="46473" stopIfTrue="1" operator="equal">
      <formula>"En cours"</formula>
    </cfRule>
  </conditionalFormatting>
  <conditionalFormatting sqref="AJ139">
    <cfRule type="cellIs" dxfId="4674" priority="46474" stopIfTrue="1" operator="notEqual">
      <formula>"En cours"</formula>
    </cfRule>
  </conditionalFormatting>
  <conditionalFormatting sqref="AK139">
    <cfRule type="cellIs" dxfId="4673" priority="46475" stopIfTrue="1" operator="equal">
      <formula>"En cours"</formula>
    </cfRule>
  </conditionalFormatting>
  <conditionalFormatting sqref="AK139">
    <cfRule type="cellIs" dxfId="4672" priority="46476" stopIfTrue="1" operator="notEqual">
      <formula>"En cours"</formula>
    </cfRule>
  </conditionalFormatting>
  <conditionalFormatting sqref="AJ134">
    <cfRule type="cellIs" dxfId="4671" priority="46573" stopIfTrue="1" operator="equal">
      <formula>"En cours"</formula>
    </cfRule>
  </conditionalFormatting>
  <conditionalFormatting sqref="AJ134">
    <cfRule type="cellIs" dxfId="4670" priority="46574" stopIfTrue="1" operator="notEqual">
      <formula>"En cours"</formula>
    </cfRule>
  </conditionalFormatting>
  <conditionalFormatting sqref="AK134">
    <cfRule type="cellIs" dxfId="4669" priority="46575" stopIfTrue="1" operator="equal">
      <formula>"En cours"</formula>
    </cfRule>
  </conditionalFormatting>
  <conditionalFormatting sqref="AK134">
    <cfRule type="cellIs" dxfId="4668" priority="46576" stopIfTrue="1" operator="notEqual">
      <formula>"En cours"</formula>
    </cfRule>
  </conditionalFormatting>
  <conditionalFormatting sqref="AJ162">
    <cfRule type="cellIs" dxfId="4667" priority="47081" stopIfTrue="1" operator="equal">
      <formula>"En cours"</formula>
    </cfRule>
  </conditionalFormatting>
  <conditionalFormatting sqref="AJ162">
    <cfRule type="cellIs" dxfId="4666" priority="47082" stopIfTrue="1" operator="notEqual">
      <formula>"En cours"</formula>
    </cfRule>
  </conditionalFormatting>
  <conditionalFormatting sqref="AK162">
    <cfRule type="cellIs" dxfId="4665" priority="47083" stopIfTrue="1" operator="equal">
      <formula>"En cours"</formula>
    </cfRule>
  </conditionalFormatting>
  <conditionalFormatting sqref="AK162">
    <cfRule type="cellIs" dxfId="4664" priority="47084" stopIfTrue="1" operator="notEqual">
      <formula>"En cours"</formula>
    </cfRule>
  </conditionalFormatting>
  <conditionalFormatting sqref="AJ126">
    <cfRule type="cellIs" dxfId="4663" priority="47129" stopIfTrue="1" operator="equal">
      <formula>"En cours"</formula>
    </cfRule>
  </conditionalFormatting>
  <conditionalFormatting sqref="AJ126">
    <cfRule type="cellIs" dxfId="4662" priority="47130" stopIfTrue="1" operator="notEqual">
      <formula>"En cours"</formula>
    </cfRule>
  </conditionalFormatting>
  <conditionalFormatting sqref="AK126">
    <cfRule type="cellIs" dxfId="4661" priority="47131" stopIfTrue="1" operator="equal">
      <formula>"En cours"</formula>
    </cfRule>
  </conditionalFormatting>
  <conditionalFormatting sqref="AK126">
    <cfRule type="cellIs" dxfId="4660" priority="47132" stopIfTrue="1" operator="notEqual">
      <formula>"En cours"</formula>
    </cfRule>
  </conditionalFormatting>
  <conditionalFormatting sqref="AJ148">
    <cfRule type="cellIs" dxfId="4659" priority="47169" stopIfTrue="1" operator="equal">
      <formula>"En cours"</formula>
    </cfRule>
  </conditionalFormatting>
  <conditionalFormatting sqref="AJ148">
    <cfRule type="cellIs" dxfId="4658" priority="47170" stopIfTrue="1" operator="notEqual">
      <formula>"En cours"</formula>
    </cfRule>
  </conditionalFormatting>
  <conditionalFormatting sqref="AK148">
    <cfRule type="cellIs" dxfId="4657" priority="47171" stopIfTrue="1" operator="equal">
      <formula>"En cours"</formula>
    </cfRule>
  </conditionalFormatting>
  <conditionalFormatting sqref="AK148">
    <cfRule type="cellIs" dxfId="4656" priority="47172" stopIfTrue="1" operator="notEqual">
      <formula>"En cours"</formula>
    </cfRule>
  </conditionalFormatting>
  <conditionalFormatting sqref="AJ154">
    <cfRule type="cellIs" dxfId="4655" priority="47221" stopIfTrue="1" operator="equal">
      <formula>"En cours"</formula>
    </cfRule>
  </conditionalFormatting>
  <conditionalFormatting sqref="AJ154">
    <cfRule type="cellIs" dxfId="4654" priority="47222" stopIfTrue="1" operator="notEqual">
      <formula>"En cours"</formula>
    </cfRule>
  </conditionalFormatting>
  <conditionalFormatting sqref="AK154">
    <cfRule type="cellIs" dxfId="4653" priority="47223" stopIfTrue="1" operator="equal">
      <formula>"En cours"</formula>
    </cfRule>
  </conditionalFormatting>
  <conditionalFormatting sqref="AK154">
    <cfRule type="cellIs" dxfId="4652" priority="47224" stopIfTrue="1" operator="notEqual">
      <formula>"En cours"</formula>
    </cfRule>
  </conditionalFormatting>
  <conditionalFormatting sqref="AJ116">
    <cfRule type="cellIs" dxfId="4651" priority="47237" stopIfTrue="1" operator="equal">
      <formula>"En cours"</formula>
    </cfRule>
  </conditionalFormatting>
  <conditionalFormatting sqref="AJ116">
    <cfRule type="cellIs" dxfId="4650" priority="47238" stopIfTrue="1" operator="notEqual">
      <formula>"En cours"</formula>
    </cfRule>
  </conditionalFormatting>
  <conditionalFormatting sqref="AK116">
    <cfRule type="cellIs" dxfId="4649" priority="47239" stopIfTrue="1" operator="equal">
      <formula>"En cours"</formula>
    </cfRule>
  </conditionalFormatting>
  <conditionalFormatting sqref="AK116">
    <cfRule type="cellIs" dxfId="4648" priority="47240" stopIfTrue="1" operator="notEqual">
      <formula>"En cours"</formula>
    </cfRule>
  </conditionalFormatting>
  <conditionalFormatting sqref="AJ106">
    <cfRule type="cellIs" dxfId="4647" priority="47249" stopIfTrue="1" operator="equal">
      <formula>"En cours"</formula>
    </cfRule>
  </conditionalFormatting>
  <conditionalFormatting sqref="AJ106">
    <cfRule type="cellIs" dxfId="4646" priority="47250" stopIfTrue="1" operator="notEqual">
      <formula>"En cours"</formula>
    </cfRule>
  </conditionalFormatting>
  <conditionalFormatting sqref="AK106">
    <cfRule type="cellIs" dxfId="4645" priority="47251" stopIfTrue="1" operator="equal">
      <formula>"En cours"</formula>
    </cfRule>
  </conditionalFormatting>
  <conditionalFormatting sqref="AK106">
    <cfRule type="cellIs" dxfId="4644" priority="47252" stopIfTrue="1" operator="notEqual">
      <formula>"En cours"</formula>
    </cfRule>
  </conditionalFormatting>
  <conditionalFormatting sqref="AJ133">
    <cfRule type="cellIs" dxfId="4643" priority="47253" stopIfTrue="1" operator="equal">
      <formula>"En cours"</formula>
    </cfRule>
  </conditionalFormatting>
  <conditionalFormatting sqref="AJ133">
    <cfRule type="cellIs" dxfId="4642" priority="47254" stopIfTrue="1" operator="notEqual">
      <formula>"En cours"</formula>
    </cfRule>
  </conditionalFormatting>
  <conditionalFormatting sqref="AK133">
    <cfRule type="cellIs" dxfId="4641" priority="47255" stopIfTrue="1" operator="equal">
      <formula>"En cours"</formula>
    </cfRule>
  </conditionalFormatting>
  <conditionalFormatting sqref="AK133">
    <cfRule type="cellIs" dxfId="4640" priority="47256" stopIfTrue="1" operator="notEqual">
      <formula>"En cours"</formula>
    </cfRule>
  </conditionalFormatting>
  <conditionalFormatting sqref="AJ107">
    <cfRule type="cellIs" dxfId="4639" priority="47273" stopIfTrue="1" operator="equal">
      <formula>"En cours"</formula>
    </cfRule>
  </conditionalFormatting>
  <conditionalFormatting sqref="AJ107">
    <cfRule type="cellIs" dxfId="4638" priority="47274" stopIfTrue="1" operator="notEqual">
      <formula>"En cours"</formula>
    </cfRule>
  </conditionalFormatting>
  <conditionalFormatting sqref="AK107">
    <cfRule type="cellIs" dxfId="4637" priority="47275" stopIfTrue="1" operator="equal">
      <formula>"En cours"</formula>
    </cfRule>
  </conditionalFormatting>
  <conditionalFormatting sqref="AK107">
    <cfRule type="cellIs" dxfId="4636" priority="47276" stopIfTrue="1" operator="notEqual">
      <formula>"En cours"</formula>
    </cfRule>
  </conditionalFormatting>
  <conditionalFormatting sqref="AJ125">
    <cfRule type="cellIs" dxfId="4635" priority="47285" stopIfTrue="1" operator="equal">
      <formula>"En cours"</formula>
    </cfRule>
  </conditionalFormatting>
  <conditionalFormatting sqref="AJ125">
    <cfRule type="cellIs" dxfId="4634" priority="47286" stopIfTrue="1" operator="notEqual">
      <formula>"En cours"</formula>
    </cfRule>
  </conditionalFormatting>
  <conditionalFormatting sqref="AK125">
    <cfRule type="cellIs" dxfId="4633" priority="47287" stopIfTrue="1" operator="equal">
      <formula>"En cours"</formula>
    </cfRule>
  </conditionalFormatting>
  <conditionalFormatting sqref="AK125">
    <cfRule type="cellIs" dxfId="4632" priority="47288" stopIfTrue="1" operator="notEqual">
      <formula>"En cours"</formula>
    </cfRule>
  </conditionalFormatting>
  <conditionalFormatting sqref="AJ112">
    <cfRule type="cellIs" dxfId="4631" priority="47301" stopIfTrue="1" operator="equal">
      <formula>"En cours"</formula>
    </cfRule>
  </conditionalFormatting>
  <conditionalFormatting sqref="AJ112">
    <cfRule type="cellIs" dxfId="4630" priority="47302" stopIfTrue="1" operator="notEqual">
      <formula>"En cours"</formula>
    </cfRule>
  </conditionalFormatting>
  <conditionalFormatting sqref="AK112">
    <cfRule type="cellIs" dxfId="4629" priority="47303" stopIfTrue="1" operator="equal">
      <formula>"En cours"</formula>
    </cfRule>
  </conditionalFormatting>
  <conditionalFormatting sqref="AK112">
    <cfRule type="cellIs" dxfId="4628" priority="47304" stopIfTrue="1" operator="notEqual">
      <formula>"En cours"</formula>
    </cfRule>
  </conditionalFormatting>
  <conditionalFormatting sqref="AJ172">
    <cfRule type="cellIs" dxfId="4627" priority="47313" stopIfTrue="1" operator="equal">
      <formula>"En cours"</formula>
    </cfRule>
  </conditionalFormatting>
  <conditionalFormatting sqref="AJ172">
    <cfRule type="cellIs" dxfId="4626" priority="47314" stopIfTrue="1" operator="notEqual">
      <formula>"En cours"</formula>
    </cfRule>
  </conditionalFormatting>
  <conditionalFormatting sqref="AK172">
    <cfRule type="cellIs" dxfId="4625" priority="47315" stopIfTrue="1" operator="equal">
      <formula>"En cours"</formula>
    </cfRule>
  </conditionalFormatting>
  <conditionalFormatting sqref="AK172">
    <cfRule type="cellIs" dxfId="4624" priority="47316" stopIfTrue="1" operator="notEqual">
      <formula>"En cours"</formula>
    </cfRule>
  </conditionalFormatting>
  <conditionalFormatting sqref="AJ118">
    <cfRule type="cellIs" dxfId="4623" priority="47673" stopIfTrue="1" operator="equal">
      <formula>"En cours"</formula>
    </cfRule>
  </conditionalFormatting>
  <conditionalFormatting sqref="AJ118">
    <cfRule type="cellIs" dxfId="4622" priority="47674" stopIfTrue="1" operator="notEqual">
      <formula>"En cours"</formula>
    </cfRule>
  </conditionalFormatting>
  <conditionalFormatting sqref="AK118">
    <cfRule type="cellIs" dxfId="4621" priority="47675" stopIfTrue="1" operator="equal">
      <formula>"En cours"</formula>
    </cfRule>
  </conditionalFormatting>
  <conditionalFormatting sqref="AK118">
    <cfRule type="cellIs" dxfId="4620" priority="47676" stopIfTrue="1" operator="notEqual">
      <formula>"En cours"</formula>
    </cfRule>
  </conditionalFormatting>
  <conditionalFormatting sqref="AJ165">
    <cfRule type="cellIs" dxfId="4619" priority="47705" stopIfTrue="1" operator="equal">
      <formula>"En cours"</formula>
    </cfRule>
  </conditionalFormatting>
  <conditionalFormatting sqref="AJ165">
    <cfRule type="cellIs" dxfId="4618" priority="47706" stopIfTrue="1" operator="notEqual">
      <formula>"En cours"</formula>
    </cfRule>
  </conditionalFormatting>
  <conditionalFormatting sqref="AK165">
    <cfRule type="cellIs" dxfId="4617" priority="47707" stopIfTrue="1" operator="equal">
      <formula>"En cours"</formula>
    </cfRule>
  </conditionalFormatting>
  <conditionalFormatting sqref="AK165">
    <cfRule type="cellIs" dxfId="4616" priority="47708" stopIfTrue="1" operator="notEqual">
      <formula>"En cours"</formula>
    </cfRule>
  </conditionalFormatting>
  <conditionalFormatting sqref="AJ164">
    <cfRule type="cellIs" dxfId="4615" priority="47733" stopIfTrue="1" operator="equal">
      <formula>"En cours"</formula>
    </cfRule>
  </conditionalFormatting>
  <conditionalFormatting sqref="AJ164">
    <cfRule type="cellIs" dxfId="4614" priority="47734" stopIfTrue="1" operator="notEqual">
      <formula>"En cours"</formula>
    </cfRule>
  </conditionalFormatting>
  <conditionalFormatting sqref="AK164">
    <cfRule type="cellIs" dxfId="4613" priority="47735" stopIfTrue="1" operator="equal">
      <formula>"En cours"</formula>
    </cfRule>
  </conditionalFormatting>
  <conditionalFormatting sqref="AK164">
    <cfRule type="cellIs" dxfId="4612" priority="47736" stopIfTrue="1" operator="notEqual">
      <formula>"En cours"</formula>
    </cfRule>
  </conditionalFormatting>
  <conditionalFormatting sqref="AJ150">
    <cfRule type="cellIs" dxfId="4611" priority="47745" stopIfTrue="1" operator="equal">
      <formula>"En cours"</formula>
    </cfRule>
  </conditionalFormatting>
  <conditionalFormatting sqref="AJ150">
    <cfRule type="cellIs" dxfId="4610" priority="47746" stopIfTrue="1" operator="notEqual">
      <formula>"En cours"</formula>
    </cfRule>
  </conditionalFormatting>
  <conditionalFormatting sqref="AK150">
    <cfRule type="cellIs" dxfId="4609" priority="47747" stopIfTrue="1" operator="equal">
      <formula>"En cours"</formula>
    </cfRule>
  </conditionalFormatting>
  <conditionalFormatting sqref="AK150">
    <cfRule type="cellIs" dxfId="4608" priority="47748" stopIfTrue="1" operator="notEqual">
      <formula>"En cours"</formula>
    </cfRule>
  </conditionalFormatting>
  <conditionalFormatting sqref="AJ173">
    <cfRule type="cellIs" dxfId="4607" priority="47805" stopIfTrue="1" operator="equal">
      <formula>"En cours"</formula>
    </cfRule>
  </conditionalFormatting>
  <conditionalFormatting sqref="AJ173">
    <cfRule type="cellIs" dxfId="4606" priority="47806" stopIfTrue="1" operator="notEqual">
      <formula>"En cours"</formula>
    </cfRule>
  </conditionalFormatting>
  <conditionalFormatting sqref="AK173">
    <cfRule type="cellIs" dxfId="4605" priority="47807" stopIfTrue="1" operator="equal">
      <formula>"En cours"</formula>
    </cfRule>
  </conditionalFormatting>
  <conditionalFormatting sqref="AK173">
    <cfRule type="cellIs" dxfId="4604" priority="47808" stopIfTrue="1" operator="notEqual">
      <formula>"En cours"</formula>
    </cfRule>
  </conditionalFormatting>
  <conditionalFormatting sqref="AJ168">
    <cfRule type="cellIs" dxfId="4603" priority="48149" stopIfTrue="1" operator="equal">
      <formula>"En cours"</formula>
    </cfRule>
  </conditionalFormatting>
  <conditionalFormatting sqref="AJ168">
    <cfRule type="cellIs" dxfId="4602" priority="48150" stopIfTrue="1" operator="notEqual">
      <formula>"En cours"</formula>
    </cfRule>
  </conditionalFormatting>
  <conditionalFormatting sqref="AK168">
    <cfRule type="cellIs" dxfId="4601" priority="48151" stopIfTrue="1" operator="equal">
      <formula>"En cours"</formula>
    </cfRule>
  </conditionalFormatting>
  <conditionalFormatting sqref="AK168">
    <cfRule type="cellIs" dxfId="4600" priority="48152" stopIfTrue="1" operator="notEqual">
      <formula>"En cours"</formula>
    </cfRule>
  </conditionalFormatting>
  <conditionalFormatting sqref="AJ145">
    <cfRule type="cellIs" dxfId="4599" priority="48253" stopIfTrue="1" operator="equal">
      <formula>"En cours"</formula>
    </cfRule>
  </conditionalFormatting>
  <conditionalFormatting sqref="AJ145">
    <cfRule type="cellIs" dxfId="4598" priority="48254" stopIfTrue="1" operator="notEqual">
      <formula>"En cours"</formula>
    </cfRule>
  </conditionalFormatting>
  <conditionalFormatting sqref="AK145">
    <cfRule type="cellIs" dxfId="4597" priority="48255" stopIfTrue="1" operator="equal">
      <formula>"En cours"</formula>
    </cfRule>
  </conditionalFormatting>
  <conditionalFormatting sqref="AK145">
    <cfRule type="cellIs" dxfId="4596" priority="48256" stopIfTrue="1" operator="notEqual">
      <formula>"En cours"</formula>
    </cfRule>
  </conditionalFormatting>
  <conditionalFormatting sqref="AJ149">
    <cfRule type="cellIs" dxfId="4595" priority="48689" stopIfTrue="1" operator="equal">
      <formula>"En cours"</formula>
    </cfRule>
  </conditionalFormatting>
  <conditionalFormatting sqref="AJ149">
    <cfRule type="cellIs" dxfId="4594" priority="48690" stopIfTrue="1" operator="notEqual">
      <formula>"En cours"</formula>
    </cfRule>
  </conditionalFormatting>
  <conditionalFormatting sqref="AK149">
    <cfRule type="cellIs" dxfId="4593" priority="48691" stopIfTrue="1" operator="equal">
      <formula>"En cours"</formula>
    </cfRule>
  </conditionalFormatting>
  <conditionalFormatting sqref="AK149">
    <cfRule type="cellIs" dxfId="4592" priority="48692" stopIfTrue="1" operator="notEqual">
      <formula>"En cours"</formula>
    </cfRule>
  </conditionalFormatting>
  <conditionalFormatting sqref="AJ127">
    <cfRule type="cellIs" dxfId="4591" priority="48757" stopIfTrue="1" operator="equal">
      <formula>"En cours"</formula>
    </cfRule>
  </conditionalFormatting>
  <conditionalFormatting sqref="AJ127">
    <cfRule type="cellIs" dxfId="4590" priority="48758" stopIfTrue="1" operator="notEqual">
      <formula>"En cours"</formula>
    </cfRule>
  </conditionalFormatting>
  <conditionalFormatting sqref="AK127">
    <cfRule type="cellIs" dxfId="4589" priority="48759" stopIfTrue="1" operator="equal">
      <formula>"En cours"</formula>
    </cfRule>
  </conditionalFormatting>
  <conditionalFormatting sqref="AK127">
    <cfRule type="cellIs" dxfId="4588" priority="48760" stopIfTrue="1" operator="notEqual">
      <formula>"En cours"</formula>
    </cfRule>
  </conditionalFormatting>
  <conditionalFormatting sqref="AJ122">
    <cfRule type="cellIs" dxfId="4587" priority="48765" stopIfTrue="1" operator="equal">
      <formula>"En cours"</formula>
    </cfRule>
  </conditionalFormatting>
  <conditionalFormatting sqref="AJ122">
    <cfRule type="cellIs" dxfId="4586" priority="48766" stopIfTrue="1" operator="notEqual">
      <formula>"En cours"</formula>
    </cfRule>
  </conditionalFormatting>
  <conditionalFormatting sqref="AK122">
    <cfRule type="cellIs" dxfId="4585" priority="48767" stopIfTrue="1" operator="equal">
      <formula>"En cours"</formula>
    </cfRule>
  </conditionalFormatting>
  <conditionalFormatting sqref="AK122">
    <cfRule type="cellIs" dxfId="4584" priority="48768" stopIfTrue="1" operator="notEqual">
      <formula>"En cours"</formula>
    </cfRule>
  </conditionalFormatting>
  <conditionalFormatting sqref="AJ123">
    <cfRule type="cellIs" dxfId="4583" priority="48769" stopIfTrue="1" operator="equal">
      <formula>"En cours"</formula>
    </cfRule>
  </conditionalFormatting>
  <conditionalFormatting sqref="AJ123">
    <cfRule type="cellIs" dxfId="4582" priority="48770" stopIfTrue="1" operator="notEqual">
      <formula>"En cours"</formula>
    </cfRule>
  </conditionalFormatting>
  <conditionalFormatting sqref="AK123">
    <cfRule type="cellIs" dxfId="4581" priority="48771" stopIfTrue="1" operator="equal">
      <formula>"En cours"</formula>
    </cfRule>
  </conditionalFormatting>
  <conditionalFormatting sqref="AK123">
    <cfRule type="cellIs" dxfId="4580" priority="48772" stopIfTrue="1" operator="notEqual">
      <formula>"En cours"</formula>
    </cfRule>
  </conditionalFormatting>
  <conditionalFormatting sqref="AJ132">
    <cfRule type="cellIs" dxfId="4579" priority="48777" stopIfTrue="1" operator="equal">
      <formula>"En cours"</formula>
    </cfRule>
  </conditionalFormatting>
  <conditionalFormatting sqref="AJ132">
    <cfRule type="cellIs" dxfId="4578" priority="48778" stopIfTrue="1" operator="notEqual">
      <formula>"En cours"</formula>
    </cfRule>
  </conditionalFormatting>
  <conditionalFormatting sqref="AK132">
    <cfRule type="cellIs" dxfId="4577" priority="48779" stopIfTrue="1" operator="equal">
      <formula>"En cours"</formula>
    </cfRule>
  </conditionalFormatting>
  <conditionalFormatting sqref="AK132">
    <cfRule type="cellIs" dxfId="4576" priority="48780" stopIfTrue="1" operator="notEqual">
      <formula>"En cours"</formula>
    </cfRule>
  </conditionalFormatting>
  <conditionalFormatting sqref="AJ159">
    <cfRule type="cellIs" dxfId="4575" priority="48789" stopIfTrue="1" operator="equal">
      <formula>"En cours"</formula>
    </cfRule>
  </conditionalFormatting>
  <conditionalFormatting sqref="AJ159">
    <cfRule type="cellIs" dxfId="4574" priority="48790" stopIfTrue="1" operator="notEqual">
      <formula>"En cours"</formula>
    </cfRule>
  </conditionalFormatting>
  <conditionalFormatting sqref="AK159">
    <cfRule type="cellIs" dxfId="4573" priority="48791" stopIfTrue="1" operator="equal">
      <formula>"En cours"</formula>
    </cfRule>
  </conditionalFormatting>
  <conditionalFormatting sqref="AK159">
    <cfRule type="cellIs" dxfId="4572" priority="48792" stopIfTrue="1" operator="notEqual">
      <formula>"En cours"</formula>
    </cfRule>
  </conditionalFormatting>
  <conditionalFormatting sqref="AJ136">
    <cfRule type="cellIs" dxfId="4571" priority="48825" stopIfTrue="1" operator="equal">
      <formula>"En cours"</formula>
    </cfRule>
  </conditionalFormatting>
  <conditionalFormatting sqref="AJ136">
    <cfRule type="cellIs" dxfId="4570" priority="48826" stopIfTrue="1" operator="notEqual">
      <formula>"En cours"</formula>
    </cfRule>
  </conditionalFormatting>
  <conditionalFormatting sqref="AK136">
    <cfRule type="cellIs" dxfId="4569" priority="48827" stopIfTrue="1" operator="equal">
      <formula>"En cours"</formula>
    </cfRule>
  </conditionalFormatting>
  <conditionalFormatting sqref="AK136">
    <cfRule type="cellIs" dxfId="4568" priority="48828" stopIfTrue="1" operator="notEqual">
      <formula>"En cours"</formula>
    </cfRule>
  </conditionalFormatting>
  <conditionalFormatting sqref="AJ120">
    <cfRule type="cellIs" dxfId="4567" priority="48829" stopIfTrue="1" operator="equal">
      <formula>"En cours"</formula>
    </cfRule>
  </conditionalFormatting>
  <conditionalFormatting sqref="AJ120">
    <cfRule type="cellIs" dxfId="4566" priority="48830" stopIfTrue="1" operator="notEqual">
      <formula>"En cours"</formula>
    </cfRule>
  </conditionalFormatting>
  <conditionalFormatting sqref="AK120">
    <cfRule type="cellIs" dxfId="4565" priority="48831" stopIfTrue="1" operator="equal">
      <formula>"En cours"</formula>
    </cfRule>
  </conditionalFormatting>
  <conditionalFormatting sqref="AK120">
    <cfRule type="cellIs" dxfId="4564" priority="48832" stopIfTrue="1" operator="notEqual">
      <formula>"En cours"</formula>
    </cfRule>
  </conditionalFormatting>
  <conditionalFormatting sqref="AJ157">
    <cfRule type="cellIs" dxfId="4563" priority="48845" stopIfTrue="1" operator="equal">
      <formula>"En cours"</formula>
    </cfRule>
  </conditionalFormatting>
  <conditionalFormatting sqref="AJ157">
    <cfRule type="cellIs" dxfId="4562" priority="48846" stopIfTrue="1" operator="notEqual">
      <formula>"En cours"</formula>
    </cfRule>
  </conditionalFormatting>
  <conditionalFormatting sqref="AK157">
    <cfRule type="cellIs" dxfId="4561" priority="48847" stopIfTrue="1" operator="equal">
      <formula>"En cours"</formula>
    </cfRule>
  </conditionalFormatting>
  <conditionalFormatting sqref="AK157">
    <cfRule type="cellIs" dxfId="4560" priority="48848" stopIfTrue="1" operator="notEqual">
      <formula>"En cours"</formula>
    </cfRule>
  </conditionalFormatting>
  <conditionalFormatting sqref="AJ144">
    <cfRule type="cellIs" dxfId="4559" priority="48865" stopIfTrue="1" operator="equal">
      <formula>"En cours"</formula>
    </cfRule>
  </conditionalFormatting>
  <conditionalFormatting sqref="AJ144">
    <cfRule type="cellIs" dxfId="4558" priority="48866" stopIfTrue="1" operator="notEqual">
      <formula>"En cours"</formula>
    </cfRule>
  </conditionalFormatting>
  <conditionalFormatting sqref="AK144">
    <cfRule type="cellIs" dxfId="4557" priority="48867" stopIfTrue="1" operator="equal">
      <formula>"En cours"</formula>
    </cfRule>
  </conditionalFormatting>
  <conditionalFormatting sqref="AK144">
    <cfRule type="cellIs" dxfId="4556" priority="48868" stopIfTrue="1" operator="notEqual">
      <formula>"En cours"</formula>
    </cfRule>
  </conditionalFormatting>
  <conditionalFormatting sqref="AJ174">
    <cfRule type="cellIs" dxfId="4555" priority="48877" stopIfTrue="1" operator="equal">
      <formula>"En cours"</formula>
    </cfRule>
  </conditionalFormatting>
  <conditionalFormatting sqref="AJ174">
    <cfRule type="cellIs" dxfId="4554" priority="48878" stopIfTrue="1" operator="notEqual">
      <formula>"En cours"</formula>
    </cfRule>
  </conditionalFormatting>
  <conditionalFormatting sqref="AK174">
    <cfRule type="cellIs" dxfId="4553" priority="48879" stopIfTrue="1" operator="equal">
      <formula>"En cours"</formula>
    </cfRule>
  </conditionalFormatting>
  <conditionalFormatting sqref="AK174">
    <cfRule type="cellIs" dxfId="4552" priority="48880" stopIfTrue="1" operator="notEqual">
      <formula>"En cours"</formula>
    </cfRule>
  </conditionalFormatting>
  <conditionalFormatting sqref="AJ119">
    <cfRule type="cellIs" dxfId="4551" priority="48901" stopIfTrue="1" operator="equal">
      <formula>"En cours"</formula>
    </cfRule>
  </conditionalFormatting>
  <conditionalFormatting sqref="AJ119">
    <cfRule type="cellIs" dxfId="4550" priority="48902" stopIfTrue="1" operator="notEqual">
      <formula>"En cours"</formula>
    </cfRule>
  </conditionalFormatting>
  <conditionalFormatting sqref="AK119">
    <cfRule type="cellIs" dxfId="4549" priority="48903" stopIfTrue="1" operator="equal">
      <formula>"En cours"</formula>
    </cfRule>
  </conditionalFormatting>
  <conditionalFormatting sqref="AK119">
    <cfRule type="cellIs" dxfId="4548" priority="48904" stopIfTrue="1" operator="notEqual">
      <formula>"En cours"</formula>
    </cfRule>
  </conditionalFormatting>
  <conditionalFormatting sqref="AJ169">
    <cfRule type="cellIs" dxfId="4547" priority="48933" stopIfTrue="1" operator="equal">
      <formula>"En cours"</formula>
    </cfRule>
  </conditionalFormatting>
  <conditionalFormatting sqref="AJ169">
    <cfRule type="cellIs" dxfId="4546" priority="48934" stopIfTrue="1" operator="notEqual">
      <formula>"En cours"</formula>
    </cfRule>
  </conditionalFormatting>
  <conditionalFormatting sqref="AK169">
    <cfRule type="cellIs" dxfId="4545" priority="48935" stopIfTrue="1" operator="equal">
      <formula>"En cours"</formula>
    </cfRule>
  </conditionalFormatting>
  <conditionalFormatting sqref="AK169">
    <cfRule type="cellIs" dxfId="4544" priority="48936" stopIfTrue="1" operator="notEqual">
      <formula>"En cours"</formula>
    </cfRule>
  </conditionalFormatting>
  <conditionalFormatting sqref="AJ170">
    <cfRule type="cellIs" dxfId="4543" priority="48937" stopIfTrue="1" operator="equal">
      <formula>"En cours"</formula>
    </cfRule>
  </conditionalFormatting>
  <conditionalFormatting sqref="AJ170">
    <cfRule type="cellIs" dxfId="4542" priority="48938" stopIfTrue="1" operator="notEqual">
      <formula>"En cours"</formula>
    </cfRule>
  </conditionalFormatting>
  <conditionalFormatting sqref="AK170">
    <cfRule type="cellIs" dxfId="4541" priority="48939" stopIfTrue="1" operator="equal">
      <formula>"En cours"</formula>
    </cfRule>
  </conditionalFormatting>
  <conditionalFormatting sqref="AK170">
    <cfRule type="cellIs" dxfId="4540" priority="48940" stopIfTrue="1" operator="notEqual">
      <formula>"En cours"</formula>
    </cfRule>
  </conditionalFormatting>
  <conditionalFormatting sqref="AJ156">
    <cfRule type="cellIs" dxfId="4539" priority="49401" stopIfTrue="1" operator="equal">
      <formula>"En cours"</formula>
    </cfRule>
  </conditionalFormatting>
  <conditionalFormatting sqref="AJ156">
    <cfRule type="cellIs" dxfId="4538" priority="49402" stopIfTrue="1" operator="notEqual">
      <formula>"En cours"</formula>
    </cfRule>
  </conditionalFormatting>
  <conditionalFormatting sqref="AK156">
    <cfRule type="cellIs" dxfId="4537" priority="49403" stopIfTrue="1" operator="equal">
      <formula>"En cours"</formula>
    </cfRule>
  </conditionalFormatting>
  <conditionalFormatting sqref="AK156">
    <cfRule type="cellIs" dxfId="4536" priority="49404" stopIfTrue="1" operator="notEqual">
      <formula>"En cours"</formula>
    </cfRule>
  </conditionalFormatting>
  <conditionalFormatting sqref="AJ147">
    <cfRule type="cellIs" dxfId="4535" priority="49405" stopIfTrue="1" operator="equal">
      <formula>"En cours"</formula>
    </cfRule>
  </conditionalFormatting>
  <conditionalFormatting sqref="AJ147">
    <cfRule type="cellIs" dxfId="4534" priority="49406" stopIfTrue="1" operator="notEqual">
      <formula>"En cours"</formula>
    </cfRule>
  </conditionalFormatting>
  <conditionalFormatting sqref="AK147">
    <cfRule type="cellIs" dxfId="4533" priority="49407" stopIfTrue="1" operator="equal">
      <formula>"En cours"</formula>
    </cfRule>
  </conditionalFormatting>
  <conditionalFormatting sqref="AK147">
    <cfRule type="cellIs" dxfId="4532" priority="49408" stopIfTrue="1" operator="notEqual">
      <formula>"En cours"</formula>
    </cfRule>
  </conditionalFormatting>
  <conditionalFormatting sqref="AJ108">
    <cfRule type="cellIs" dxfId="4531" priority="49409" stopIfTrue="1" operator="equal">
      <formula>"En cours"</formula>
    </cfRule>
  </conditionalFormatting>
  <conditionalFormatting sqref="AJ108">
    <cfRule type="cellIs" dxfId="4530" priority="49410" stopIfTrue="1" operator="notEqual">
      <formula>"En cours"</formula>
    </cfRule>
  </conditionalFormatting>
  <conditionalFormatting sqref="AK108">
    <cfRule type="cellIs" dxfId="4529" priority="49411" stopIfTrue="1" operator="equal">
      <formula>"En cours"</formula>
    </cfRule>
  </conditionalFormatting>
  <conditionalFormatting sqref="AK108">
    <cfRule type="cellIs" dxfId="4528" priority="49412" stopIfTrue="1" operator="notEqual">
      <formula>"En cours"</formula>
    </cfRule>
  </conditionalFormatting>
  <conditionalFormatting sqref="AJ153">
    <cfRule type="cellIs" dxfId="4527" priority="49421" stopIfTrue="1" operator="equal">
      <formula>"En cours"</formula>
    </cfRule>
  </conditionalFormatting>
  <conditionalFormatting sqref="AJ153">
    <cfRule type="cellIs" dxfId="4526" priority="49422" stopIfTrue="1" operator="notEqual">
      <formula>"En cours"</formula>
    </cfRule>
  </conditionalFormatting>
  <conditionalFormatting sqref="AK153">
    <cfRule type="cellIs" dxfId="4525" priority="49423" stopIfTrue="1" operator="equal">
      <formula>"En cours"</formula>
    </cfRule>
  </conditionalFormatting>
  <conditionalFormatting sqref="AK153">
    <cfRule type="cellIs" dxfId="4524" priority="49424" stopIfTrue="1" operator="notEqual">
      <formula>"En cours"</formula>
    </cfRule>
  </conditionalFormatting>
  <conditionalFormatting sqref="AJ130">
    <cfRule type="cellIs" dxfId="4523" priority="49437" stopIfTrue="1" operator="equal">
      <formula>"En cours"</formula>
    </cfRule>
  </conditionalFormatting>
  <conditionalFormatting sqref="AJ130">
    <cfRule type="cellIs" dxfId="4522" priority="49438" stopIfTrue="1" operator="notEqual">
      <formula>"En cours"</formula>
    </cfRule>
  </conditionalFormatting>
  <conditionalFormatting sqref="AK130">
    <cfRule type="cellIs" dxfId="4521" priority="49439" stopIfTrue="1" operator="equal">
      <formula>"En cours"</formula>
    </cfRule>
  </conditionalFormatting>
  <conditionalFormatting sqref="AK130">
    <cfRule type="cellIs" dxfId="4520" priority="49440" stopIfTrue="1" operator="notEqual">
      <formula>"En cours"</formula>
    </cfRule>
  </conditionalFormatting>
  <conditionalFormatting sqref="AJ115">
    <cfRule type="cellIs" dxfId="4519" priority="49441" stopIfTrue="1" operator="equal">
      <formula>"En cours"</formula>
    </cfRule>
  </conditionalFormatting>
  <conditionalFormatting sqref="AJ115">
    <cfRule type="cellIs" dxfId="4518" priority="49442" stopIfTrue="1" operator="notEqual">
      <formula>"En cours"</formula>
    </cfRule>
  </conditionalFormatting>
  <conditionalFormatting sqref="AK115">
    <cfRule type="cellIs" dxfId="4517" priority="49443" stopIfTrue="1" operator="equal">
      <formula>"En cours"</formula>
    </cfRule>
  </conditionalFormatting>
  <conditionalFormatting sqref="AK115">
    <cfRule type="cellIs" dxfId="4516" priority="49444" stopIfTrue="1" operator="notEqual">
      <formula>"En cours"</formula>
    </cfRule>
  </conditionalFormatting>
  <conditionalFormatting sqref="AJ111">
    <cfRule type="cellIs" dxfId="4515" priority="49445" stopIfTrue="1" operator="equal">
      <formula>"En cours"</formula>
    </cfRule>
  </conditionalFormatting>
  <conditionalFormatting sqref="AJ111">
    <cfRule type="cellIs" dxfId="4514" priority="49446" stopIfTrue="1" operator="notEqual">
      <formula>"En cours"</formula>
    </cfRule>
  </conditionalFormatting>
  <conditionalFormatting sqref="AK111">
    <cfRule type="cellIs" dxfId="4513" priority="49447" stopIfTrue="1" operator="equal">
      <formula>"En cours"</formula>
    </cfRule>
  </conditionalFormatting>
  <conditionalFormatting sqref="AK111">
    <cfRule type="cellIs" dxfId="4512" priority="49448" stopIfTrue="1" operator="notEqual">
      <formula>"En cours"</formula>
    </cfRule>
  </conditionalFormatting>
  <conditionalFormatting sqref="AJ138">
    <cfRule type="cellIs" dxfId="4511" priority="49449" stopIfTrue="1" operator="equal">
      <formula>"En cours"</formula>
    </cfRule>
  </conditionalFormatting>
  <conditionalFormatting sqref="AJ138">
    <cfRule type="cellIs" dxfId="4510" priority="49450" stopIfTrue="1" operator="notEqual">
      <formula>"En cours"</formula>
    </cfRule>
  </conditionalFormatting>
  <conditionalFormatting sqref="AK138">
    <cfRule type="cellIs" dxfId="4509" priority="49451" stopIfTrue="1" operator="equal">
      <formula>"En cours"</formula>
    </cfRule>
  </conditionalFormatting>
  <conditionalFormatting sqref="AK138">
    <cfRule type="cellIs" dxfId="4508" priority="49452" stopIfTrue="1" operator="notEqual">
      <formula>"En cours"</formula>
    </cfRule>
  </conditionalFormatting>
  <conditionalFormatting sqref="AJ142">
    <cfRule type="cellIs" dxfId="4507" priority="49461" stopIfTrue="1" operator="equal">
      <formula>"En cours"</formula>
    </cfRule>
  </conditionalFormatting>
  <conditionalFormatting sqref="AJ142">
    <cfRule type="cellIs" dxfId="4506" priority="49462" stopIfTrue="1" operator="notEqual">
      <formula>"En cours"</formula>
    </cfRule>
  </conditionalFormatting>
  <conditionalFormatting sqref="AK142">
    <cfRule type="cellIs" dxfId="4505" priority="49463" stopIfTrue="1" operator="equal">
      <formula>"En cours"</formula>
    </cfRule>
  </conditionalFormatting>
  <conditionalFormatting sqref="AK142">
    <cfRule type="cellIs" dxfId="4504" priority="49464" stopIfTrue="1" operator="notEqual">
      <formula>"En cours"</formula>
    </cfRule>
  </conditionalFormatting>
  <conditionalFormatting sqref="AJ129">
    <cfRule type="cellIs" dxfId="4503" priority="49465" stopIfTrue="1" operator="equal">
      <formula>"En cours"</formula>
    </cfRule>
  </conditionalFormatting>
  <conditionalFormatting sqref="AJ129">
    <cfRule type="cellIs" dxfId="4502" priority="49466" stopIfTrue="1" operator="notEqual">
      <formula>"En cours"</formula>
    </cfRule>
  </conditionalFormatting>
  <conditionalFormatting sqref="AK129">
    <cfRule type="cellIs" dxfId="4501" priority="49467" stopIfTrue="1" operator="equal">
      <formula>"En cours"</formula>
    </cfRule>
  </conditionalFormatting>
  <conditionalFormatting sqref="AK129">
    <cfRule type="cellIs" dxfId="4500" priority="49468" stopIfTrue="1" operator="notEqual">
      <formula>"En cours"</formula>
    </cfRule>
  </conditionalFormatting>
  <conditionalFormatting sqref="AJ167">
    <cfRule type="cellIs" dxfId="4499" priority="49477" stopIfTrue="1" operator="equal">
      <formula>"En cours"</formula>
    </cfRule>
  </conditionalFormatting>
  <conditionalFormatting sqref="AJ167">
    <cfRule type="cellIs" dxfId="4498" priority="49478" stopIfTrue="1" operator="notEqual">
      <formula>"En cours"</formula>
    </cfRule>
  </conditionalFormatting>
  <conditionalFormatting sqref="AK167">
    <cfRule type="cellIs" dxfId="4497" priority="49479" stopIfTrue="1" operator="equal">
      <formula>"En cours"</formula>
    </cfRule>
  </conditionalFormatting>
  <conditionalFormatting sqref="AK167">
    <cfRule type="cellIs" dxfId="4496" priority="49480" stopIfTrue="1" operator="notEqual">
      <formula>"En cours"</formula>
    </cfRule>
  </conditionalFormatting>
  <conditionalFormatting sqref="AJ146">
    <cfRule type="cellIs" dxfId="4495" priority="49481" stopIfTrue="1" operator="equal">
      <formula>"En cours"</formula>
    </cfRule>
  </conditionalFormatting>
  <conditionalFormatting sqref="AJ146">
    <cfRule type="cellIs" dxfId="4494" priority="49482" stopIfTrue="1" operator="notEqual">
      <formula>"En cours"</formula>
    </cfRule>
  </conditionalFormatting>
  <conditionalFormatting sqref="AK146">
    <cfRule type="cellIs" dxfId="4493" priority="49483" stopIfTrue="1" operator="equal">
      <formula>"En cours"</formula>
    </cfRule>
  </conditionalFormatting>
  <conditionalFormatting sqref="AK146">
    <cfRule type="cellIs" dxfId="4492" priority="49484" stopIfTrue="1" operator="notEqual">
      <formula>"En cours"</formula>
    </cfRule>
  </conditionalFormatting>
  <conditionalFormatting sqref="AJ151">
    <cfRule type="cellIs" dxfId="4491" priority="49489" stopIfTrue="1" operator="equal">
      <formula>"En cours"</formula>
    </cfRule>
  </conditionalFormatting>
  <conditionalFormatting sqref="AJ151">
    <cfRule type="cellIs" dxfId="4490" priority="49490" stopIfTrue="1" operator="notEqual">
      <formula>"En cours"</formula>
    </cfRule>
  </conditionalFormatting>
  <conditionalFormatting sqref="AK151">
    <cfRule type="cellIs" dxfId="4489" priority="49491" stopIfTrue="1" operator="equal">
      <formula>"En cours"</formula>
    </cfRule>
  </conditionalFormatting>
  <conditionalFormatting sqref="AK151">
    <cfRule type="cellIs" dxfId="4488" priority="49492" stopIfTrue="1" operator="notEqual">
      <formula>"En cours"</formula>
    </cfRule>
  </conditionalFormatting>
  <conditionalFormatting sqref="AJ163">
    <cfRule type="cellIs" dxfId="4487" priority="49493" stopIfTrue="1" operator="equal">
      <formula>"En cours"</formula>
    </cfRule>
  </conditionalFormatting>
  <conditionalFormatting sqref="AJ163">
    <cfRule type="cellIs" dxfId="4486" priority="49494" stopIfTrue="1" operator="notEqual">
      <formula>"En cours"</formula>
    </cfRule>
  </conditionalFormatting>
  <conditionalFormatting sqref="AK163">
    <cfRule type="cellIs" dxfId="4485" priority="49495" stopIfTrue="1" operator="equal">
      <formula>"En cours"</formula>
    </cfRule>
  </conditionalFormatting>
  <conditionalFormatting sqref="AK163">
    <cfRule type="cellIs" dxfId="4484" priority="49496" stopIfTrue="1" operator="notEqual">
      <formula>"En cours"</formula>
    </cfRule>
  </conditionalFormatting>
  <conditionalFormatting sqref="AJ124">
    <cfRule type="cellIs" dxfId="4483" priority="49501" stopIfTrue="1" operator="equal">
      <formula>"En cours"</formula>
    </cfRule>
  </conditionalFormatting>
  <conditionalFormatting sqref="AJ124">
    <cfRule type="cellIs" dxfId="4482" priority="49502" stopIfTrue="1" operator="notEqual">
      <formula>"En cours"</formula>
    </cfRule>
  </conditionalFormatting>
  <conditionalFormatting sqref="AK124">
    <cfRule type="cellIs" dxfId="4481" priority="49503" stopIfTrue="1" operator="equal">
      <formula>"En cours"</formula>
    </cfRule>
  </conditionalFormatting>
  <conditionalFormatting sqref="AK124">
    <cfRule type="cellIs" dxfId="4480" priority="49504" stopIfTrue="1" operator="notEqual">
      <formula>"En cours"</formula>
    </cfRule>
  </conditionalFormatting>
  <conditionalFormatting sqref="AJ161">
    <cfRule type="cellIs" dxfId="4479" priority="49505" stopIfTrue="1" operator="equal">
      <formula>"En cours"</formula>
    </cfRule>
  </conditionalFormatting>
  <conditionalFormatting sqref="AJ161">
    <cfRule type="cellIs" dxfId="4478" priority="49506" stopIfTrue="1" operator="notEqual">
      <formula>"En cours"</formula>
    </cfRule>
  </conditionalFormatting>
  <conditionalFormatting sqref="AK161">
    <cfRule type="cellIs" dxfId="4477" priority="49507" stopIfTrue="1" operator="equal">
      <formula>"En cours"</formula>
    </cfRule>
  </conditionalFormatting>
  <conditionalFormatting sqref="AK161">
    <cfRule type="cellIs" dxfId="4476" priority="49508" stopIfTrue="1" operator="notEqual">
      <formula>"En cours"</formula>
    </cfRule>
  </conditionalFormatting>
  <conditionalFormatting sqref="AJ110">
    <cfRule type="cellIs" dxfId="4475" priority="49521" stopIfTrue="1" operator="equal">
      <formula>"En cours"</formula>
    </cfRule>
  </conditionalFormatting>
  <conditionalFormatting sqref="AJ110">
    <cfRule type="cellIs" dxfId="4474" priority="49522" stopIfTrue="1" operator="notEqual">
      <formula>"En cours"</formula>
    </cfRule>
  </conditionalFormatting>
  <conditionalFormatting sqref="AK110">
    <cfRule type="cellIs" dxfId="4473" priority="49523" stopIfTrue="1" operator="equal">
      <formula>"En cours"</formula>
    </cfRule>
  </conditionalFormatting>
  <conditionalFormatting sqref="AK110">
    <cfRule type="cellIs" dxfId="4472" priority="49524" stopIfTrue="1" operator="notEqual">
      <formula>"En cours"</formula>
    </cfRule>
  </conditionalFormatting>
  <conditionalFormatting sqref="AJ158">
    <cfRule type="cellIs" dxfId="4471" priority="49529" stopIfTrue="1" operator="equal">
      <formula>"En cours"</formula>
    </cfRule>
  </conditionalFormatting>
  <conditionalFormatting sqref="AJ158">
    <cfRule type="cellIs" dxfId="4470" priority="49530" stopIfTrue="1" operator="notEqual">
      <formula>"En cours"</formula>
    </cfRule>
  </conditionalFormatting>
  <conditionalFormatting sqref="AK158">
    <cfRule type="cellIs" dxfId="4469" priority="49531" stopIfTrue="1" operator="equal">
      <formula>"En cours"</formula>
    </cfRule>
  </conditionalFormatting>
  <conditionalFormatting sqref="AK158">
    <cfRule type="cellIs" dxfId="4468" priority="49532" stopIfTrue="1" operator="notEqual">
      <formula>"En cours"</formula>
    </cfRule>
  </conditionalFormatting>
  <conditionalFormatting sqref="AJ140">
    <cfRule type="cellIs" dxfId="4467" priority="49533" stopIfTrue="1" operator="equal">
      <formula>"En cours"</formula>
    </cfRule>
  </conditionalFormatting>
  <conditionalFormatting sqref="AJ140">
    <cfRule type="cellIs" dxfId="4466" priority="49534" stopIfTrue="1" operator="notEqual">
      <formula>"En cours"</formula>
    </cfRule>
  </conditionalFormatting>
  <conditionalFormatting sqref="AK140">
    <cfRule type="cellIs" dxfId="4465" priority="49535" stopIfTrue="1" operator="equal">
      <formula>"En cours"</formula>
    </cfRule>
  </conditionalFormatting>
  <conditionalFormatting sqref="AK140">
    <cfRule type="cellIs" dxfId="4464" priority="49536" stopIfTrue="1" operator="notEqual">
      <formula>"En cours"</formula>
    </cfRule>
  </conditionalFormatting>
  <conditionalFormatting sqref="AJ171">
    <cfRule type="cellIs" dxfId="4463" priority="49569" stopIfTrue="1" operator="equal">
      <formula>"En cours"</formula>
    </cfRule>
  </conditionalFormatting>
  <conditionalFormatting sqref="AJ171">
    <cfRule type="cellIs" dxfId="4462" priority="49570" stopIfTrue="1" operator="notEqual">
      <formula>"En cours"</formula>
    </cfRule>
  </conditionalFormatting>
  <conditionalFormatting sqref="AK171">
    <cfRule type="cellIs" dxfId="4461" priority="49571" stopIfTrue="1" operator="equal">
      <formula>"En cours"</formula>
    </cfRule>
  </conditionalFormatting>
  <conditionalFormatting sqref="AK171">
    <cfRule type="cellIs" dxfId="4460" priority="49572" stopIfTrue="1" operator="notEqual">
      <formula>"En cours"</formula>
    </cfRule>
  </conditionalFormatting>
  <conditionalFormatting sqref="AJ152">
    <cfRule type="cellIs" dxfId="4459" priority="49573" stopIfTrue="1" operator="equal">
      <formula>"En cours"</formula>
    </cfRule>
  </conditionalFormatting>
  <conditionalFormatting sqref="AJ152">
    <cfRule type="cellIs" dxfId="4458" priority="49574" stopIfTrue="1" operator="notEqual">
      <formula>"En cours"</formula>
    </cfRule>
  </conditionalFormatting>
  <conditionalFormatting sqref="AK152">
    <cfRule type="cellIs" dxfId="4457" priority="49575" stopIfTrue="1" operator="equal">
      <formula>"En cours"</formula>
    </cfRule>
  </conditionalFormatting>
  <conditionalFormatting sqref="AK152">
    <cfRule type="cellIs" dxfId="4456" priority="49576" stopIfTrue="1" operator="notEqual">
      <formula>"En cours"</formula>
    </cfRule>
  </conditionalFormatting>
  <conditionalFormatting sqref="AJ114">
    <cfRule type="cellIs" dxfId="4455" priority="49581" stopIfTrue="1" operator="equal">
      <formula>"En cours"</formula>
    </cfRule>
  </conditionalFormatting>
  <conditionalFormatting sqref="AJ114">
    <cfRule type="cellIs" dxfId="4454" priority="49582" stopIfTrue="1" operator="notEqual">
      <formula>"En cours"</formula>
    </cfRule>
  </conditionalFormatting>
  <conditionalFormatting sqref="AK114">
    <cfRule type="cellIs" dxfId="4453" priority="49583" stopIfTrue="1" operator="equal">
      <formula>"En cours"</formula>
    </cfRule>
  </conditionalFormatting>
  <conditionalFormatting sqref="AK114">
    <cfRule type="cellIs" dxfId="4452" priority="49584" stopIfTrue="1" operator="notEqual">
      <formula>"En cours"</formula>
    </cfRule>
  </conditionalFormatting>
  <conditionalFormatting sqref="AJ141">
    <cfRule type="cellIs" dxfId="4451" priority="49589" stopIfTrue="1" operator="equal">
      <formula>"En cours"</formula>
    </cfRule>
  </conditionalFormatting>
  <conditionalFormatting sqref="AJ141">
    <cfRule type="cellIs" dxfId="4450" priority="49590" stopIfTrue="1" operator="notEqual">
      <formula>"En cours"</formula>
    </cfRule>
  </conditionalFormatting>
  <conditionalFormatting sqref="AK141">
    <cfRule type="cellIs" dxfId="4449" priority="49591" stopIfTrue="1" operator="equal">
      <formula>"En cours"</formula>
    </cfRule>
  </conditionalFormatting>
  <conditionalFormatting sqref="AK141">
    <cfRule type="cellIs" dxfId="4448" priority="49592" stopIfTrue="1" operator="notEqual">
      <formula>"En cours"</formula>
    </cfRule>
  </conditionalFormatting>
  <conditionalFormatting sqref="AJ135">
    <cfRule type="cellIs" dxfId="4447" priority="49593" stopIfTrue="1" operator="equal">
      <formula>"En cours"</formula>
    </cfRule>
  </conditionalFormatting>
  <conditionalFormatting sqref="AJ135">
    <cfRule type="cellIs" dxfId="4446" priority="49594" stopIfTrue="1" operator="notEqual">
      <formula>"En cours"</formula>
    </cfRule>
  </conditionalFormatting>
  <conditionalFormatting sqref="AK135">
    <cfRule type="cellIs" dxfId="4445" priority="49595" stopIfTrue="1" operator="equal">
      <formula>"En cours"</formula>
    </cfRule>
  </conditionalFormatting>
  <conditionalFormatting sqref="AK135">
    <cfRule type="cellIs" dxfId="4444" priority="49596" stopIfTrue="1" operator="notEqual">
      <formula>"En cours"</formula>
    </cfRule>
  </conditionalFormatting>
  <conditionalFormatting sqref="AJ128">
    <cfRule type="cellIs" dxfId="4443" priority="49609" stopIfTrue="1" operator="equal">
      <formula>"En cours"</formula>
    </cfRule>
  </conditionalFormatting>
  <conditionalFormatting sqref="AJ128">
    <cfRule type="cellIs" dxfId="4442" priority="49610" stopIfTrue="1" operator="notEqual">
      <formula>"En cours"</formula>
    </cfRule>
  </conditionalFormatting>
  <conditionalFormatting sqref="AK128">
    <cfRule type="cellIs" dxfId="4441" priority="49611" stopIfTrue="1" operator="equal">
      <formula>"En cours"</formula>
    </cfRule>
  </conditionalFormatting>
  <conditionalFormatting sqref="AK128">
    <cfRule type="cellIs" dxfId="4440" priority="49612" stopIfTrue="1" operator="notEqual">
      <formula>"En cours"</formula>
    </cfRule>
  </conditionalFormatting>
  <conditionalFormatting sqref="AJ143">
    <cfRule type="cellIs" dxfId="4439" priority="49857" stopIfTrue="1" operator="equal">
      <formula>"En cours"</formula>
    </cfRule>
  </conditionalFormatting>
  <conditionalFormatting sqref="AJ143">
    <cfRule type="cellIs" dxfId="4438" priority="49858" stopIfTrue="1" operator="notEqual">
      <formula>"En cours"</formula>
    </cfRule>
  </conditionalFormatting>
  <conditionalFormatting sqref="AK143">
    <cfRule type="cellIs" dxfId="4437" priority="49859" stopIfTrue="1" operator="equal">
      <formula>"En cours"</formula>
    </cfRule>
  </conditionalFormatting>
  <conditionalFormatting sqref="AK143">
    <cfRule type="cellIs" dxfId="4436" priority="49860" stopIfTrue="1" operator="notEqual">
      <formula>"En cours"</formula>
    </cfRule>
  </conditionalFormatting>
  <conditionalFormatting sqref="AJ166">
    <cfRule type="cellIs" dxfId="4435" priority="49861" stopIfTrue="1" operator="equal">
      <formula>"En cours"</formula>
    </cfRule>
  </conditionalFormatting>
  <conditionalFormatting sqref="AJ166">
    <cfRule type="cellIs" dxfId="4434" priority="49862" stopIfTrue="1" operator="notEqual">
      <formula>"En cours"</formula>
    </cfRule>
  </conditionalFormatting>
  <conditionalFormatting sqref="AK166">
    <cfRule type="cellIs" dxfId="4433" priority="49863" stopIfTrue="1" operator="equal">
      <formula>"En cours"</formula>
    </cfRule>
  </conditionalFormatting>
  <conditionalFormatting sqref="AK166">
    <cfRule type="cellIs" dxfId="4432" priority="49864" stopIfTrue="1" operator="notEqual">
      <formula>"En cours"</formula>
    </cfRule>
  </conditionalFormatting>
  <conditionalFormatting sqref="AJ104">
    <cfRule type="cellIs" dxfId="4431" priority="49865" stopIfTrue="1" operator="equal">
      <formula>"En cours"</formula>
    </cfRule>
  </conditionalFormatting>
  <conditionalFormatting sqref="AJ104">
    <cfRule type="cellIs" dxfId="4430" priority="49866" stopIfTrue="1" operator="notEqual">
      <formula>"En cours"</formula>
    </cfRule>
  </conditionalFormatting>
  <conditionalFormatting sqref="AK104">
    <cfRule type="cellIs" dxfId="4429" priority="49867" stopIfTrue="1" operator="equal">
      <formula>"En cours"</formula>
    </cfRule>
  </conditionalFormatting>
  <conditionalFormatting sqref="AK104">
    <cfRule type="cellIs" dxfId="4428" priority="49868" stopIfTrue="1" operator="notEqual">
      <formula>"En cours"</formula>
    </cfRule>
  </conditionalFormatting>
  <conditionalFormatting sqref="AJ109">
    <cfRule type="cellIs" dxfId="4427" priority="49873" stopIfTrue="1" operator="equal">
      <formula>"En cours"</formula>
    </cfRule>
  </conditionalFormatting>
  <conditionalFormatting sqref="AJ109">
    <cfRule type="cellIs" dxfId="4426" priority="49874" stopIfTrue="1" operator="notEqual">
      <formula>"En cours"</formula>
    </cfRule>
  </conditionalFormatting>
  <conditionalFormatting sqref="AK109">
    <cfRule type="cellIs" dxfId="4425" priority="49875" stopIfTrue="1" operator="equal">
      <formula>"En cours"</formula>
    </cfRule>
  </conditionalFormatting>
  <conditionalFormatting sqref="AK109">
    <cfRule type="cellIs" dxfId="4424" priority="49876" stopIfTrue="1" operator="notEqual">
      <formula>"En cours"</formula>
    </cfRule>
  </conditionalFormatting>
  <conditionalFormatting sqref="AJ175">
    <cfRule type="cellIs" dxfId="4423" priority="49881" stopIfTrue="1" operator="equal">
      <formula>"En cours"</formula>
    </cfRule>
  </conditionalFormatting>
  <conditionalFormatting sqref="AJ175">
    <cfRule type="cellIs" dxfId="4422" priority="49882" stopIfTrue="1" operator="notEqual">
      <formula>"En cours"</formula>
    </cfRule>
  </conditionalFormatting>
  <conditionalFormatting sqref="AK175">
    <cfRule type="cellIs" dxfId="4421" priority="49883" stopIfTrue="1" operator="equal">
      <formula>"En cours"</formula>
    </cfRule>
  </conditionalFormatting>
  <conditionalFormatting sqref="AK175">
    <cfRule type="cellIs" dxfId="4420" priority="49884" stopIfTrue="1" operator="notEqual">
      <formula>"En cours"</formula>
    </cfRule>
  </conditionalFormatting>
  <conditionalFormatting sqref="AJ121">
    <cfRule type="cellIs" dxfId="4419" priority="49885" stopIfTrue="1" operator="equal">
      <formula>"En cours"</formula>
    </cfRule>
  </conditionalFormatting>
  <conditionalFormatting sqref="AJ121">
    <cfRule type="cellIs" dxfId="4418" priority="49886" stopIfTrue="1" operator="notEqual">
      <formula>"En cours"</formula>
    </cfRule>
  </conditionalFormatting>
  <conditionalFormatting sqref="AK121">
    <cfRule type="cellIs" dxfId="4417" priority="49887" stopIfTrue="1" operator="equal">
      <formula>"En cours"</formula>
    </cfRule>
  </conditionalFormatting>
  <conditionalFormatting sqref="AK121">
    <cfRule type="cellIs" dxfId="4416" priority="49888" stopIfTrue="1" operator="notEqual">
      <formula>"En cours"</formula>
    </cfRule>
  </conditionalFormatting>
  <conditionalFormatting sqref="AJ117">
    <cfRule type="cellIs" dxfId="4415" priority="49889" stopIfTrue="1" operator="equal">
      <formula>"En cours"</formula>
    </cfRule>
  </conditionalFormatting>
  <conditionalFormatting sqref="AJ117">
    <cfRule type="cellIs" dxfId="4414" priority="49890" stopIfTrue="1" operator="notEqual">
      <formula>"En cours"</formula>
    </cfRule>
  </conditionalFormatting>
  <conditionalFormatting sqref="AK117">
    <cfRule type="cellIs" dxfId="4413" priority="49891" stopIfTrue="1" operator="equal">
      <formula>"En cours"</formula>
    </cfRule>
  </conditionalFormatting>
  <conditionalFormatting sqref="AK117">
    <cfRule type="cellIs" dxfId="4412" priority="49892" stopIfTrue="1" operator="notEqual">
      <formula>"En cours"</formula>
    </cfRule>
  </conditionalFormatting>
  <conditionalFormatting sqref="AJ113">
    <cfRule type="cellIs" dxfId="4411" priority="49893" stopIfTrue="1" operator="equal">
      <formula>"En cours"</formula>
    </cfRule>
  </conditionalFormatting>
  <conditionalFormatting sqref="AJ113">
    <cfRule type="cellIs" dxfId="4410" priority="49894" stopIfTrue="1" operator="notEqual">
      <formula>"En cours"</formula>
    </cfRule>
  </conditionalFormatting>
  <conditionalFormatting sqref="AK113">
    <cfRule type="cellIs" dxfId="4409" priority="49895" stopIfTrue="1" operator="equal">
      <formula>"En cours"</formula>
    </cfRule>
  </conditionalFormatting>
  <conditionalFormatting sqref="AK113">
    <cfRule type="cellIs" dxfId="4408" priority="49896" stopIfTrue="1" operator="notEqual">
      <formula>"En cours"</formula>
    </cfRule>
  </conditionalFormatting>
  <conditionalFormatting sqref="AJ155">
    <cfRule type="cellIs" dxfId="4407" priority="49909" stopIfTrue="1" operator="equal">
      <formula>"En cours"</formula>
    </cfRule>
  </conditionalFormatting>
  <conditionalFormatting sqref="AJ155">
    <cfRule type="cellIs" dxfId="4406" priority="49910" stopIfTrue="1" operator="notEqual">
      <formula>"En cours"</formula>
    </cfRule>
  </conditionalFormatting>
  <conditionalFormatting sqref="AK155">
    <cfRule type="cellIs" dxfId="4405" priority="49911" stopIfTrue="1" operator="equal">
      <formula>"En cours"</formula>
    </cfRule>
  </conditionalFormatting>
  <conditionalFormatting sqref="AK155">
    <cfRule type="cellIs" dxfId="4404" priority="49912" stopIfTrue="1" operator="notEqual">
      <formula>"En cours"</formula>
    </cfRule>
  </conditionalFormatting>
  <conditionalFormatting sqref="AJ137">
    <cfRule type="cellIs" dxfId="4403" priority="49913" stopIfTrue="1" operator="equal">
      <formula>"En cours"</formula>
    </cfRule>
  </conditionalFormatting>
  <conditionalFormatting sqref="AJ137">
    <cfRule type="cellIs" dxfId="4402" priority="49914" stopIfTrue="1" operator="notEqual">
      <formula>"En cours"</formula>
    </cfRule>
  </conditionalFormatting>
  <conditionalFormatting sqref="AK137">
    <cfRule type="cellIs" dxfId="4401" priority="49915" stopIfTrue="1" operator="equal">
      <formula>"En cours"</formula>
    </cfRule>
  </conditionalFormatting>
  <conditionalFormatting sqref="AK137">
    <cfRule type="cellIs" dxfId="4400" priority="49916" stopIfTrue="1" operator="notEqual">
      <formula>"En cours"</formula>
    </cfRule>
  </conditionalFormatting>
  <conditionalFormatting sqref="AJ131">
    <cfRule type="cellIs" dxfId="4399" priority="49921" stopIfTrue="1" operator="equal">
      <formula>"En cours"</formula>
    </cfRule>
  </conditionalFormatting>
  <conditionalFormatting sqref="AJ131">
    <cfRule type="cellIs" dxfId="4398" priority="49922" stopIfTrue="1" operator="notEqual">
      <formula>"En cours"</formula>
    </cfRule>
  </conditionalFormatting>
  <conditionalFormatting sqref="AK131">
    <cfRule type="cellIs" dxfId="4397" priority="49923" stopIfTrue="1" operator="equal">
      <formula>"En cours"</formula>
    </cfRule>
  </conditionalFormatting>
  <conditionalFormatting sqref="AK131">
    <cfRule type="cellIs" dxfId="4396" priority="49924" stopIfTrue="1" operator="notEqual">
      <formula>"En cours"</formula>
    </cfRule>
  </conditionalFormatting>
  <conditionalFormatting sqref="AJ105">
    <cfRule type="cellIs" dxfId="4395" priority="49925" stopIfTrue="1" operator="equal">
      <formula>"En cours"</formula>
    </cfRule>
  </conditionalFormatting>
  <conditionalFormatting sqref="AJ105">
    <cfRule type="cellIs" dxfId="4394" priority="49926" stopIfTrue="1" operator="notEqual">
      <formula>"En cours"</formula>
    </cfRule>
  </conditionalFormatting>
  <conditionalFormatting sqref="AK105">
    <cfRule type="cellIs" dxfId="4393" priority="49927" stopIfTrue="1" operator="equal">
      <formula>"En cours"</formula>
    </cfRule>
  </conditionalFormatting>
  <conditionalFormatting sqref="AK105">
    <cfRule type="cellIs" dxfId="4392" priority="49928" stopIfTrue="1" operator="notEqual">
      <formula>"En cours"</formula>
    </cfRule>
  </conditionalFormatting>
  <conditionalFormatting sqref="AJ160">
    <cfRule type="cellIs" dxfId="4391" priority="49929" stopIfTrue="1" operator="equal">
      <formula>"En cours"</formula>
    </cfRule>
  </conditionalFormatting>
  <conditionalFormatting sqref="AJ160">
    <cfRule type="cellIs" dxfId="4390" priority="49930" stopIfTrue="1" operator="notEqual">
      <formula>"En cours"</formula>
    </cfRule>
  </conditionalFormatting>
  <conditionalFormatting sqref="AK160">
    <cfRule type="cellIs" dxfId="4389" priority="49931" stopIfTrue="1" operator="equal">
      <formula>"En cours"</formula>
    </cfRule>
  </conditionalFormatting>
  <conditionalFormatting sqref="AK160">
    <cfRule type="cellIs" dxfId="4388" priority="49932" stopIfTrue="1" operator="notEqual">
      <formula>"En cours"</formula>
    </cfRule>
  </conditionalFormatting>
  <conditionalFormatting sqref="AJ69">
    <cfRule type="cellIs" dxfId="4387" priority="52585" stopIfTrue="1" operator="equal">
      <formula>"En cours"</formula>
    </cfRule>
  </conditionalFormatting>
  <conditionalFormatting sqref="AJ69">
    <cfRule type="cellIs" dxfId="4386" priority="52586" stopIfTrue="1" operator="notEqual">
      <formula>"En cours"</formula>
    </cfRule>
  </conditionalFormatting>
  <conditionalFormatting sqref="AK69">
    <cfRule type="cellIs" dxfId="4385" priority="52587" stopIfTrue="1" operator="equal">
      <formula>"En cours"</formula>
    </cfRule>
  </conditionalFormatting>
  <conditionalFormatting sqref="AK69">
    <cfRule type="cellIs" dxfId="4384" priority="52588" stopIfTrue="1" operator="notEqual">
      <formula>"En cours"</formula>
    </cfRule>
  </conditionalFormatting>
  <conditionalFormatting sqref="AJ71">
    <cfRule type="cellIs" dxfId="4383" priority="52593" stopIfTrue="1" operator="equal">
      <formula>"En cours"</formula>
    </cfRule>
  </conditionalFormatting>
  <conditionalFormatting sqref="AJ71">
    <cfRule type="cellIs" dxfId="4382" priority="52594" stopIfTrue="1" operator="notEqual">
      <formula>"En cours"</formula>
    </cfRule>
  </conditionalFormatting>
  <conditionalFormatting sqref="AK71">
    <cfRule type="cellIs" dxfId="4381" priority="52595" stopIfTrue="1" operator="equal">
      <formula>"En cours"</formula>
    </cfRule>
  </conditionalFormatting>
  <conditionalFormatting sqref="AK71">
    <cfRule type="cellIs" dxfId="4380" priority="52596" stopIfTrue="1" operator="notEqual">
      <formula>"En cours"</formula>
    </cfRule>
  </conditionalFormatting>
  <conditionalFormatting sqref="AJ73">
    <cfRule type="cellIs" dxfId="4379" priority="52601" stopIfTrue="1" operator="equal">
      <formula>"En cours"</formula>
    </cfRule>
  </conditionalFormatting>
  <conditionalFormatting sqref="AJ73">
    <cfRule type="cellIs" dxfId="4378" priority="52602" stopIfTrue="1" operator="notEqual">
      <formula>"En cours"</formula>
    </cfRule>
  </conditionalFormatting>
  <conditionalFormatting sqref="AK73">
    <cfRule type="cellIs" dxfId="4377" priority="52603" stopIfTrue="1" operator="equal">
      <formula>"En cours"</formula>
    </cfRule>
  </conditionalFormatting>
  <conditionalFormatting sqref="AK73">
    <cfRule type="cellIs" dxfId="4376" priority="52604" stopIfTrue="1" operator="notEqual">
      <formula>"En cours"</formula>
    </cfRule>
  </conditionalFormatting>
  <conditionalFormatting sqref="AJ74">
    <cfRule type="cellIs" dxfId="4375" priority="52605" stopIfTrue="1" operator="equal">
      <formula>"En cours"</formula>
    </cfRule>
  </conditionalFormatting>
  <conditionalFormatting sqref="AJ74">
    <cfRule type="cellIs" dxfId="4374" priority="52606" stopIfTrue="1" operator="notEqual">
      <formula>"En cours"</formula>
    </cfRule>
  </conditionalFormatting>
  <conditionalFormatting sqref="AK74">
    <cfRule type="cellIs" dxfId="4373" priority="52607" stopIfTrue="1" operator="equal">
      <formula>"En cours"</formula>
    </cfRule>
  </conditionalFormatting>
  <conditionalFormatting sqref="AK74">
    <cfRule type="cellIs" dxfId="4372" priority="52608" stopIfTrue="1" operator="notEqual">
      <formula>"En cours"</formula>
    </cfRule>
  </conditionalFormatting>
  <conditionalFormatting sqref="AJ76">
    <cfRule type="cellIs" dxfId="4371" priority="52609" stopIfTrue="1" operator="equal">
      <formula>"En cours"</formula>
    </cfRule>
  </conditionalFormatting>
  <conditionalFormatting sqref="AJ76">
    <cfRule type="cellIs" dxfId="4370" priority="52610" stopIfTrue="1" operator="notEqual">
      <formula>"En cours"</formula>
    </cfRule>
  </conditionalFormatting>
  <conditionalFormatting sqref="AK76">
    <cfRule type="cellIs" dxfId="4369" priority="52611" stopIfTrue="1" operator="equal">
      <formula>"En cours"</formula>
    </cfRule>
  </conditionalFormatting>
  <conditionalFormatting sqref="AK76">
    <cfRule type="cellIs" dxfId="4368" priority="52612" stopIfTrue="1" operator="notEqual">
      <formula>"En cours"</formula>
    </cfRule>
  </conditionalFormatting>
  <conditionalFormatting sqref="AJ68">
    <cfRule type="cellIs" dxfId="4367" priority="52621" stopIfTrue="1" operator="equal">
      <formula>"En cours"</formula>
    </cfRule>
  </conditionalFormatting>
  <conditionalFormatting sqref="AJ68">
    <cfRule type="cellIs" dxfId="4366" priority="52622" stopIfTrue="1" operator="notEqual">
      <formula>"En cours"</formula>
    </cfRule>
  </conditionalFormatting>
  <conditionalFormatting sqref="AK68">
    <cfRule type="cellIs" dxfId="4365" priority="52623" stopIfTrue="1" operator="equal">
      <formula>"En cours"</formula>
    </cfRule>
  </conditionalFormatting>
  <conditionalFormatting sqref="AK68">
    <cfRule type="cellIs" dxfId="4364" priority="52624" stopIfTrue="1" operator="notEqual">
      <formula>"En cours"</formula>
    </cfRule>
  </conditionalFormatting>
  <conditionalFormatting sqref="AJ77">
    <cfRule type="cellIs" dxfId="4363" priority="52625" stopIfTrue="1" operator="equal">
      <formula>"En cours"</formula>
    </cfRule>
  </conditionalFormatting>
  <conditionalFormatting sqref="AJ77">
    <cfRule type="cellIs" dxfId="4362" priority="52626" stopIfTrue="1" operator="notEqual">
      <formula>"En cours"</formula>
    </cfRule>
  </conditionalFormatting>
  <conditionalFormatting sqref="AK77">
    <cfRule type="cellIs" dxfId="4361" priority="52627" stopIfTrue="1" operator="equal">
      <formula>"En cours"</formula>
    </cfRule>
  </conditionalFormatting>
  <conditionalFormatting sqref="AK77">
    <cfRule type="cellIs" dxfId="4360" priority="52628" stopIfTrue="1" operator="notEqual">
      <formula>"En cours"</formula>
    </cfRule>
  </conditionalFormatting>
  <conditionalFormatting sqref="AJ78">
    <cfRule type="cellIs" dxfId="4359" priority="52629" stopIfTrue="1" operator="equal">
      <formula>"En cours"</formula>
    </cfRule>
  </conditionalFormatting>
  <conditionalFormatting sqref="AJ78">
    <cfRule type="cellIs" dxfId="4358" priority="52630" stopIfTrue="1" operator="notEqual">
      <formula>"En cours"</formula>
    </cfRule>
  </conditionalFormatting>
  <conditionalFormatting sqref="AK78">
    <cfRule type="cellIs" dxfId="4357" priority="52631" stopIfTrue="1" operator="equal">
      <formula>"En cours"</formula>
    </cfRule>
  </conditionalFormatting>
  <conditionalFormatting sqref="AK78">
    <cfRule type="cellIs" dxfId="4356" priority="52632" stopIfTrue="1" operator="notEqual">
      <formula>"En cours"</formula>
    </cfRule>
  </conditionalFormatting>
  <conditionalFormatting sqref="AJ79">
    <cfRule type="cellIs" dxfId="4355" priority="52633" stopIfTrue="1" operator="equal">
      <formula>"En cours"</formula>
    </cfRule>
  </conditionalFormatting>
  <conditionalFormatting sqref="AJ79">
    <cfRule type="cellIs" dxfId="4354" priority="52634" stopIfTrue="1" operator="notEqual">
      <formula>"En cours"</formula>
    </cfRule>
  </conditionalFormatting>
  <conditionalFormatting sqref="AK79">
    <cfRule type="cellIs" dxfId="4353" priority="52635" stopIfTrue="1" operator="equal">
      <formula>"En cours"</formula>
    </cfRule>
  </conditionalFormatting>
  <conditionalFormatting sqref="AK79">
    <cfRule type="cellIs" dxfId="4352" priority="52636" stopIfTrue="1" operator="notEqual">
      <formula>"En cours"</formula>
    </cfRule>
  </conditionalFormatting>
  <conditionalFormatting sqref="AJ82">
    <cfRule type="cellIs" dxfId="4351" priority="52637" stopIfTrue="1" operator="equal">
      <formula>"En cours"</formula>
    </cfRule>
  </conditionalFormatting>
  <conditionalFormatting sqref="AJ82">
    <cfRule type="cellIs" dxfId="4350" priority="52638" stopIfTrue="1" operator="notEqual">
      <formula>"En cours"</formula>
    </cfRule>
  </conditionalFormatting>
  <conditionalFormatting sqref="AK82">
    <cfRule type="cellIs" dxfId="4349" priority="52639" stopIfTrue="1" operator="equal">
      <formula>"En cours"</formula>
    </cfRule>
  </conditionalFormatting>
  <conditionalFormatting sqref="AK82">
    <cfRule type="cellIs" dxfId="4348" priority="52640" stopIfTrue="1" operator="notEqual">
      <formula>"En cours"</formula>
    </cfRule>
  </conditionalFormatting>
  <conditionalFormatting sqref="AJ86">
    <cfRule type="cellIs" dxfId="4347" priority="52641" stopIfTrue="1" operator="equal">
      <formula>"En cours"</formula>
    </cfRule>
  </conditionalFormatting>
  <conditionalFormatting sqref="AJ86">
    <cfRule type="cellIs" dxfId="4346" priority="52642" stopIfTrue="1" operator="notEqual">
      <formula>"En cours"</formula>
    </cfRule>
  </conditionalFormatting>
  <conditionalFormatting sqref="AK86">
    <cfRule type="cellIs" dxfId="4345" priority="52643" stopIfTrue="1" operator="equal">
      <formula>"En cours"</formula>
    </cfRule>
  </conditionalFormatting>
  <conditionalFormatting sqref="AK86">
    <cfRule type="cellIs" dxfId="4344" priority="52644" stopIfTrue="1" operator="notEqual">
      <formula>"En cours"</formula>
    </cfRule>
  </conditionalFormatting>
  <conditionalFormatting sqref="AJ81">
    <cfRule type="cellIs" dxfId="4343" priority="52649" stopIfTrue="1" operator="equal">
      <formula>"En cours"</formula>
    </cfRule>
  </conditionalFormatting>
  <conditionalFormatting sqref="AJ81">
    <cfRule type="cellIs" dxfId="4342" priority="52650" stopIfTrue="1" operator="notEqual">
      <formula>"En cours"</formula>
    </cfRule>
  </conditionalFormatting>
  <conditionalFormatting sqref="AK81">
    <cfRule type="cellIs" dxfId="4341" priority="52651" stopIfTrue="1" operator="equal">
      <formula>"En cours"</formula>
    </cfRule>
  </conditionalFormatting>
  <conditionalFormatting sqref="AK81">
    <cfRule type="cellIs" dxfId="4340" priority="52652" stopIfTrue="1" operator="notEqual">
      <formula>"En cours"</formula>
    </cfRule>
  </conditionalFormatting>
  <conditionalFormatting sqref="AJ75">
    <cfRule type="cellIs" dxfId="4339" priority="52653" stopIfTrue="1" operator="equal">
      <formula>"En cours"</formula>
    </cfRule>
  </conditionalFormatting>
  <conditionalFormatting sqref="AJ75">
    <cfRule type="cellIs" dxfId="4338" priority="52654" stopIfTrue="1" operator="notEqual">
      <formula>"En cours"</formula>
    </cfRule>
  </conditionalFormatting>
  <conditionalFormatting sqref="AK75">
    <cfRule type="cellIs" dxfId="4337" priority="52655" stopIfTrue="1" operator="equal">
      <formula>"En cours"</formula>
    </cfRule>
  </conditionalFormatting>
  <conditionalFormatting sqref="AK75">
    <cfRule type="cellIs" dxfId="4336" priority="52656" stopIfTrue="1" operator="notEqual">
      <formula>"En cours"</formula>
    </cfRule>
  </conditionalFormatting>
  <conditionalFormatting sqref="AJ90">
    <cfRule type="cellIs" dxfId="4335" priority="52657" stopIfTrue="1" operator="equal">
      <formula>"En cours"</formula>
    </cfRule>
  </conditionalFormatting>
  <conditionalFormatting sqref="AJ90">
    <cfRule type="cellIs" dxfId="4334" priority="52658" stopIfTrue="1" operator="notEqual">
      <formula>"En cours"</formula>
    </cfRule>
  </conditionalFormatting>
  <conditionalFormatting sqref="AK90">
    <cfRule type="cellIs" dxfId="4333" priority="52659" stopIfTrue="1" operator="equal">
      <formula>"En cours"</formula>
    </cfRule>
  </conditionalFormatting>
  <conditionalFormatting sqref="AK90">
    <cfRule type="cellIs" dxfId="4332" priority="52660" stopIfTrue="1" operator="notEqual">
      <formula>"En cours"</formula>
    </cfRule>
  </conditionalFormatting>
  <conditionalFormatting sqref="AJ70">
    <cfRule type="cellIs" dxfId="4331" priority="52661" stopIfTrue="1" operator="equal">
      <formula>"En cours"</formula>
    </cfRule>
  </conditionalFormatting>
  <conditionalFormatting sqref="AJ70">
    <cfRule type="cellIs" dxfId="4330" priority="52662" stopIfTrue="1" operator="notEqual">
      <formula>"En cours"</formula>
    </cfRule>
  </conditionalFormatting>
  <conditionalFormatting sqref="AK70">
    <cfRule type="cellIs" dxfId="4329" priority="52663" stopIfTrue="1" operator="equal">
      <formula>"En cours"</formula>
    </cfRule>
  </conditionalFormatting>
  <conditionalFormatting sqref="AK70">
    <cfRule type="cellIs" dxfId="4328" priority="52664" stopIfTrue="1" operator="notEqual">
      <formula>"En cours"</formula>
    </cfRule>
  </conditionalFormatting>
  <conditionalFormatting sqref="AJ93">
    <cfRule type="cellIs" dxfId="4327" priority="52665" stopIfTrue="1" operator="equal">
      <formula>"En cours"</formula>
    </cfRule>
    <cfRule type="cellIs" dxfId="4326" priority="52666" stopIfTrue="1" operator="notEqual">
      <formula>"En cours"</formula>
    </cfRule>
  </conditionalFormatting>
  <conditionalFormatting sqref="AK93">
    <cfRule type="cellIs" dxfId="4325" priority="52667" stopIfTrue="1" operator="equal">
      <formula>"En cours"</formula>
    </cfRule>
    <cfRule type="cellIs" dxfId="4324" priority="52668" stopIfTrue="1" operator="notEqual">
      <formula>"En cours"</formula>
    </cfRule>
  </conditionalFormatting>
  <conditionalFormatting sqref="AJ96">
    <cfRule type="cellIs" dxfId="4323" priority="52669" stopIfTrue="1" operator="equal">
      <formula>"En cours"</formula>
    </cfRule>
    <cfRule type="cellIs" dxfId="4322" priority="52670" stopIfTrue="1" operator="notEqual">
      <formula>"En cours"</formula>
    </cfRule>
  </conditionalFormatting>
  <conditionalFormatting sqref="AK96">
    <cfRule type="cellIs" dxfId="4321" priority="52671" stopIfTrue="1" operator="equal">
      <formula>"En cours"</formula>
    </cfRule>
    <cfRule type="cellIs" dxfId="4320" priority="52672" stopIfTrue="1" operator="notEqual">
      <formula>"En cours"</formula>
    </cfRule>
  </conditionalFormatting>
  <conditionalFormatting sqref="AJ80">
    <cfRule type="cellIs" dxfId="4319" priority="52673" stopIfTrue="1" operator="equal">
      <formula>"En cours"</formula>
    </cfRule>
  </conditionalFormatting>
  <conditionalFormatting sqref="AJ80">
    <cfRule type="cellIs" dxfId="4318" priority="52674" stopIfTrue="1" operator="notEqual">
      <formula>"En cours"</formula>
    </cfRule>
  </conditionalFormatting>
  <conditionalFormatting sqref="AK80">
    <cfRule type="cellIs" dxfId="4317" priority="52675" stopIfTrue="1" operator="equal">
      <formula>"En cours"</formula>
    </cfRule>
  </conditionalFormatting>
  <conditionalFormatting sqref="AK80">
    <cfRule type="cellIs" dxfId="4316" priority="52676" stopIfTrue="1" operator="notEqual">
      <formula>"En cours"</formula>
    </cfRule>
  </conditionalFormatting>
  <conditionalFormatting sqref="AJ97">
    <cfRule type="cellIs" dxfId="4315" priority="52677" stopIfTrue="1" operator="equal">
      <formula>"En cours"</formula>
    </cfRule>
  </conditionalFormatting>
  <conditionalFormatting sqref="AJ97">
    <cfRule type="cellIs" dxfId="4314" priority="52678" stopIfTrue="1" operator="notEqual">
      <formula>"En cours"</formula>
    </cfRule>
  </conditionalFormatting>
  <conditionalFormatting sqref="AK97">
    <cfRule type="cellIs" dxfId="4313" priority="52679" stopIfTrue="1" operator="equal">
      <formula>"En cours"</formula>
    </cfRule>
  </conditionalFormatting>
  <conditionalFormatting sqref="AK97">
    <cfRule type="cellIs" dxfId="4312" priority="52680" stopIfTrue="1" operator="notEqual">
      <formula>"En cours"</formula>
    </cfRule>
  </conditionalFormatting>
  <conditionalFormatting sqref="AJ83">
    <cfRule type="cellIs" dxfId="4311" priority="52681" stopIfTrue="1" operator="equal">
      <formula>"En cours"</formula>
    </cfRule>
  </conditionalFormatting>
  <conditionalFormatting sqref="AJ83">
    <cfRule type="cellIs" dxfId="4310" priority="52682" stopIfTrue="1" operator="notEqual">
      <formula>"En cours"</formula>
    </cfRule>
  </conditionalFormatting>
  <conditionalFormatting sqref="AK83">
    <cfRule type="cellIs" dxfId="4309" priority="52683" stopIfTrue="1" operator="equal">
      <formula>"En cours"</formula>
    </cfRule>
  </conditionalFormatting>
  <conditionalFormatting sqref="AK83">
    <cfRule type="cellIs" dxfId="4308" priority="52684" stopIfTrue="1" operator="notEqual">
      <formula>"En cours"</formula>
    </cfRule>
  </conditionalFormatting>
  <conditionalFormatting sqref="AJ100">
    <cfRule type="cellIs" dxfId="4307" priority="52685" stopIfTrue="1" operator="equal">
      <formula>"En cours"</formula>
    </cfRule>
  </conditionalFormatting>
  <conditionalFormatting sqref="AJ100">
    <cfRule type="cellIs" dxfId="4306" priority="52686" stopIfTrue="1" operator="notEqual">
      <formula>"En cours"</formula>
    </cfRule>
  </conditionalFormatting>
  <conditionalFormatting sqref="AK100">
    <cfRule type="cellIs" dxfId="4305" priority="52687" stopIfTrue="1" operator="equal">
      <formula>"En cours"</formula>
    </cfRule>
  </conditionalFormatting>
  <conditionalFormatting sqref="AK100">
    <cfRule type="cellIs" dxfId="4304" priority="52688" stopIfTrue="1" operator="notEqual">
      <formula>"En cours"</formula>
    </cfRule>
  </conditionalFormatting>
  <conditionalFormatting sqref="AJ72">
    <cfRule type="cellIs" dxfId="4303" priority="52689" stopIfTrue="1" operator="equal">
      <formula>"En cours"</formula>
    </cfRule>
  </conditionalFormatting>
  <conditionalFormatting sqref="AJ72">
    <cfRule type="cellIs" dxfId="4302" priority="52690" stopIfTrue="1" operator="notEqual">
      <formula>"En cours"</formula>
    </cfRule>
  </conditionalFormatting>
  <conditionalFormatting sqref="AK72">
    <cfRule type="cellIs" dxfId="4301" priority="52691" stopIfTrue="1" operator="equal">
      <formula>"En cours"</formula>
    </cfRule>
  </conditionalFormatting>
  <conditionalFormatting sqref="AK72">
    <cfRule type="cellIs" dxfId="4300" priority="52692" stopIfTrue="1" operator="notEqual">
      <formula>"En cours"</formula>
    </cfRule>
  </conditionalFormatting>
  <conditionalFormatting sqref="AJ87">
    <cfRule type="cellIs" dxfId="4299" priority="52693" stopIfTrue="1" operator="equal">
      <formula>"En cours"</formula>
    </cfRule>
  </conditionalFormatting>
  <conditionalFormatting sqref="AJ87">
    <cfRule type="cellIs" dxfId="4298" priority="52694" stopIfTrue="1" operator="notEqual">
      <formula>"En cours"</formula>
    </cfRule>
  </conditionalFormatting>
  <conditionalFormatting sqref="AK87">
    <cfRule type="cellIs" dxfId="4297" priority="52695" stopIfTrue="1" operator="equal">
      <formula>"En cours"</formula>
    </cfRule>
  </conditionalFormatting>
  <conditionalFormatting sqref="AK87">
    <cfRule type="cellIs" dxfId="4296" priority="52696" stopIfTrue="1" operator="notEqual">
      <formula>"En cours"</formula>
    </cfRule>
  </conditionalFormatting>
  <conditionalFormatting sqref="AJ101">
    <cfRule type="cellIs" dxfId="4295" priority="52697" stopIfTrue="1" operator="equal">
      <formula>"En cours"</formula>
    </cfRule>
  </conditionalFormatting>
  <conditionalFormatting sqref="AJ101">
    <cfRule type="cellIs" dxfId="4294" priority="52698" stopIfTrue="1" operator="notEqual">
      <formula>"En cours"</formula>
    </cfRule>
  </conditionalFormatting>
  <conditionalFormatting sqref="AK101">
    <cfRule type="cellIs" dxfId="4293" priority="52699" stopIfTrue="1" operator="equal">
      <formula>"En cours"</formula>
    </cfRule>
  </conditionalFormatting>
  <conditionalFormatting sqref="AK101">
    <cfRule type="cellIs" dxfId="4292" priority="52700" stopIfTrue="1" operator="notEqual">
      <formula>"En cours"</formula>
    </cfRule>
  </conditionalFormatting>
  <conditionalFormatting sqref="AJ89">
    <cfRule type="cellIs" dxfId="4291" priority="52701" stopIfTrue="1" operator="equal">
      <formula>"En cours"</formula>
    </cfRule>
  </conditionalFormatting>
  <conditionalFormatting sqref="AJ89">
    <cfRule type="cellIs" dxfId="4290" priority="52702" stopIfTrue="1" operator="notEqual">
      <formula>"En cours"</formula>
    </cfRule>
  </conditionalFormatting>
  <conditionalFormatting sqref="AK89">
    <cfRule type="cellIs" dxfId="4289" priority="52703" stopIfTrue="1" operator="equal">
      <formula>"En cours"</formula>
    </cfRule>
  </conditionalFormatting>
  <conditionalFormatting sqref="AK89">
    <cfRule type="cellIs" dxfId="4288" priority="52704" stopIfTrue="1" operator="notEqual">
      <formula>"En cours"</formula>
    </cfRule>
  </conditionalFormatting>
  <conditionalFormatting sqref="AJ98">
    <cfRule type="cellIs" dxfId="4287" priority="52705" stopIfTrue="1" operator="equal">
      <formula>"En cours"</formula>
    </cfRule>
  </conditionalFormatting>
  <conditionalFormatting sqref="AJ98">
    <cfRule type="cellIs" dxfId="4286" priority="52706" stopIfTrue="1" operator="notEqual">
      <formula>"En cours"</formula>
    </cfRule>
  </conditionalFormatting>
  <conditionalFormatting sqref="AK98">
    <cfRule type="cellIs" dxfId="4285" priority="52707" stopIfTrue="1" operator="equal">
      <formula>"En cours"</formula>
    </cfRule>
  </conditionalFormatting>
  <conditionalFormatting sqref="AK98">
    <cfRule type="cellIs" dxfId="4284" priority="52708" stopIfTrue="1" operator="notEqual">
      <formula>"En cours"</formula>
    </cfRule>
  </conditionalFormatting>
  <conditionalFormatting sqref="AJ91">
    <cfRule type="cellIs" dxfId="4283" priority="52709" stopIfTrue="1" operator="equal">
      <formula>"En cours"</formula>
    </cfRule>
  </conditionalFormatting>
  <conditionalFormatting sqref="AJ91">
    <cfRule type="cellIs" dxfId="4282" priority="52710" stopIfTrue="1" operator="notEqual">
      <formula>"En cours"</formula>
    </cfRule>
  </conditionalFormatting>
  <conditionalFormatting sqref="AK91">
    <cfRule type="cellIs" dxfId="4281" priority="52711" stopIfTrue="1" operator="equal">
      <formula>"En cours"</formula>
    </cfRule>
  </conditionalFormatting>
  <conditionalFormatting sqref="AK91">
    <cfRule type="cellIs" dxfId="4280" priority="52712" stopIfTrue="1" operator="notEqual">
      <formula>"En cours"</formula>
    </cfRule>
  </conditionalFormatting>
  <conditionalFormatting sqref="AJ92">
    <cfRule type="cellIs" dxfId="4279" priority="52713" stopIfTrue="1" operator="equal">
      <formula>"En cours"</formula>
    </cfRule>
  </conditionalFormatting>
  <conditionalFormatting sqref="AJ92">
    <cfRule type="cellIs" dxfId="4278" priority="52714" stopIfTrue="1" operator="notEqual">
      <formula>"En cours"</formula>
    </cfRule>
  </conditionalFormatting>
  <conditionalFormatting sqref="AK92">
    <cfRule type="cellIs" dxfId="4277" priority="52715" stopIfTrue="1" operator="equal">
      <formula>"En cours"</formula>
    </cfRule>
  </conditionalFormatting>
  <conditionalFormatting sqref="AK92">
    <cfRule type="cellIs" dxfId="4276" priority="52716" stopIfTrue="1" operator="notEqual">
      <formula>"En cours"</formula>
    </cfRule>
  </conditionalFormatting>
  <conditionalFormatting sqref="AJ84">
    <cfRule type="cellIs" dxfId="4275" priority="52717" stopIfTrue="1" operator="equal">
      <formula>"En cours"</formula>
    </cfRule>
  </conditionalFormatting>
  <conditionalFormatting sqref="AJ84">
    <cfRule type="cellIs" dxfId="4274" priority="52718" stopIfTrue="1" operator="notEqual">
      <formula>"En cours"</formula>
    </cfRule>
  </conditionalFormatting>
  <conditionalFormatting sqref="AK84">
    <cfRule type="cellIs" dxfId="4273" priority="52719" stopIfTrue="1" operator="equal">
      <formula>"En cours"</formula>
    </cfRule>
  </conditionalFormatting>
  <conditionalFormatting sqref="AK84">
    <cfRule type="cellIs" dxfId="4272" priority="52720" stopIfTrue="1" operator="notEqual">
      <formula>"En cours"</formula>
    </cfRule>
  </conditionalFormatting>
  <conditionalFormatting sqref="AJ99">
    <cfRule type="cellIs" dxfId="4271" priority="52721" stopIfTrue="1" operator="equal">
      <formula>"En cours"</formula>
    </cfRule>
  </conditionalFormatting>
  <conditionalFormatting sqref="AJ99">
    <cfRule type="cellIs" dxfId="4270" priority="52722" stopIfTrue="1" operator="notEqual">
      <formula>"En cours"</formula>
    </cfRule>
  </conditionalFormatting>
  <conditionalFormatting sqref="AK99">
    <cfRule type="cellIs" dxfId="4269" priority="52723" stopIfTrue="1" operator="equal">
      <formula>"En cours"</formula>
    </cfRule>
  </conditionalFormatting>
  <conditionalFormatting sqref="AK99">
    <cfRule type="cellIs" dxfId="4268" priority="52724" stopIfTrue="1" operator="notEqual">
      <formula>"En cours"</formula>
    </cfRule>
  </conditionalFormatting>
  <conditionalFormatting sqref="AJ95">
    <cfRule type="cellIs" dxfId="4267" priority="52725" stopIfTrue="1" operator="equal">
      <formula>"En cours"</formula>
    </cfRule>
    <cfRule type="cellIs" dxfId="4266" priority="52726" stopIfTrue="1" operator="notEqual">
      <formula>"En cours"</formula>
    </cfRule>
  </conditionalFormatting>
  <conditionalFormatting sqref="AK95">
    <cfRule type="cellIs" dxfId="4265" priority="52727" stopIfTrue="1" operator="equal">
      <formula>"En cours"</formula>
    </cfRule>
    <cfRule type="cellIs" dxfId="4264" priority="52728" stopIfTrue="1" operator="notEqual">
      <formula>"En cours"</formula>
    </cfRule>
  </conditionalFormatting>
  <conditionalFormatting sqref="AJ102">
    <cfRule type="cellIs" dxfId="4263" priority="52729" stopIfTrue="1" operator="equal">
      <formula>"En cours"</formula>
    </cfRule>
  </conditionalFormatting>
  <conditionalFormatting sqref="AJ102">
    <cfRule type="cellIs" dxfId="4262" priority="52730" stopIfTrue="1" operator="notEqual">
      <formula>"En cours"</formula>
    </cfRule>
  </conditionalFormatting>
  <conditionalFormatting sqref="AK102">
    <cfRule type="cellIs" dxfId="4261" priority="52731" stopIfTrue="1" operator="equal">
      <formula>"En cours"</formula>
    </cfRule>
  </conditionalFormatting>
  <conditionalFormatting sqref="AK102">
    <cfRule type="cellIs" dxfId="4260" priority="52732" stopIfTrue="1" operator="notEqual">
      <formula>"En cours"</formula>
    </cfRule>
  </conditionalFormatting>
  <conditionalFormatting sqref="AJ103">
    <cfRule type="cellIs" dxfId="4259" priority="52733" stopIfTrue="1" operator="equal">
      <formula>"En cours"</formula>
    </cfRule>
  </conditionalFormatting>
  <conditionalFormatting sqref="AJ103">
    <cfRule type="cellIs" dxfId="4258" priority="52734" stopIfTrue="1" operator="notEqual">
      <formula>"En cours"</formula>
    </cfRule>
  </conditionalFormatting>
  <conditionalFormatting sqref="AK103">
    <cfRule type="cellIs" dxfId="4257" priority="52735" stopIfTrue="1" operator="equal">
      <formula>"En cours"</formula>
    </cfRule>
  </conditionalFormatting>
  <conditionalFormatting sqref="AK103">
    <cfRule type="cellIs" dxfId="4256" priority="52736" stopIfTrue="1" operator="notEqual">
      <formula>"En cours"</formula>
    </cfRule>
  </conditionalFormatting>
  <conditionalFormatting sqref="AJ85">
    <cfRule type="cellIs" dxfId="4255" priority="52737" stopIfTrue="1" operator="equal">
      <formula>"En cours"</formula>
    </cfRule>
  </conditionalFormatting>
  <conditionalFormatting sqref="AJ85">
    <cfRule type="cellIs" dxfId="4254" priority="52738" stopIfTrue="1" operator="notEqual">
      <formula>"En cours"</formula>
    </cfRule>
  </conditionalFormatting>
  <conditionalFormatting sqref="AK85">
    <cfRule type="cellIs" dxfId="4253" priority="52739" stopIfTrue="1" operator="equal">
      <formula>"En cours"</formula>
    </cfRule>
  </conditionalFormatting>
  <conditionalFormatting sqref="AK85">
    <cfRule type="cellIs" dxfId="4252" priority="52740" stopIfTrue="1" operator="notEqual">
      <formula>"En cours"</formula>
    </cfRule>
  </conditionalFormatting>
  <conditionalFormatting sqref="AJ94">
    <cfRule type="cellIs" dxfId="4251" priority="52741" stopIfTrue="1" operator="equal">
      <formula>"En cours"</formula>
    </cfRule>
    <cfRule type="cellIs" dxfId="4250" priority="52742" stopIfTrue="1" operator="notEqual">
      <formula>"En cours"</formula>
    </cfRule>
  </conditionalFormatting>
  <conditionalFormatting sqref="AK94">
    <cfRule type="cellIs" dxfId="4249" priority="52743" stopIfTrue="1" operator="equal">
      <formula>"En cours"</formula>
    </cfRule>
    <cfRule type="cellIs" dxfId="4248" priority="52744" stopIfTrue="1" operator="notEqual">
      <formula>"En cours"</formula>
    </cfRule>
  </conditionalFormatting>
  <conditionalFormatting sqref="AJ88">
    <cfRule type="cellIs" dxfId="4247" priority="52745" stopIfTrue="1" operator="equal">
      <formula>"En cours"</formula>
    </cfRule>
  </conditionalFormatting>
  <conditionalFormatting sqref="AJ88">
    <cfRule type="cellIs" dxfId="4246" priority="52746" stopIfTrue="1" operator="notEqual">
      <formula>"En cours"</formula>
    </cfRule>
  </conditionalFormatting>
  <conditionalFormatting sqref="AK88">
    <cfRule type="cellIs" dxfId="4245" priority="52747" stopIfTrue="1" operator="equal">
      <formula>"En cours"</formula>
    </cfRule>
  </conditionalFormatting>
  <conditionalFormatting sqref="AK88">
    <cfRule type="cellIs" dxfId="4244" priority="52748" stopIfTrue="1" operator="notEqual">
      <formula>"En cours"</formula>
    </cfRule>
  </conditionalFormatting>
  <conditionalFormatting sqref="AJ43">
    <cfRule type="cellIs" dxfId="4243" priority="52905" stopIfTrue="1" operator="equal">
      <formula>"En cours"</formula>
    </cfRule>
  </conditionalFormatting>
  <conditionalFormatting sqref="AJ43">
    <cfRule type="cellIs" dxfId="4242" priority="52906" stopIfTrue="1" operator="notEqual">
      <formula>"En cours"</formula>
    </cfRule>
  </conditionalFormatting>
  <conditionalFormatting sqref="AK43">
    <cfRule type="cellIs" dxfId="4241" priority="52907" stopIfTrue="1" operator="equal">
      <formula>"En cours"</formula>
    </cfRule>
  </conditionalFormatting>
  <conditionalFormatting sqref="AK43">
    <cfRule type="cellIs" dxfId="4240" priority="52908" stopIfTrue="1" operator="notEqual">
      <formula>"En cours"</formula>
    </cfRule>
  </conditionalFormatting>
  <conditionalFormatting sqref="AJ44">
    <cfRule type="cellIs" dxfId="4239" priority="52909" stopIfTrue="1" operator="equal">
      <formula>"En cours"</formula>
    </cfRule>
  </conditionalFormatting>
  <conditionalFormatting sqref="AJ44">
    <cfRule type="cellIs" dxfId="4238" priority="52910" stopIfTrue="1" operator="notEqual">
      <formula>"En cours"</formula>
    </cfRule>
  </conditionalFormatting>
  <conditionalFormatting sqref="AK44">
    <cfRule type="cellIs" dxfId="4237" priority="52911" stopIfTrue="1" operator="equal">
      <formula>"En cours"</formula>
    </cfRule>
  </conditionalFormatting>
  <conditionalFormatting sqref="AK44">
    <cfRule type="cellIs" dxfId="4236" priority="52912" stopIfTrue="1" operator="notEqual">
      <formula>"En cours"</formula>
    </cfRule>
  </conditionalFormatting>
  <conditionalFormatting sqref="AJ45">
    <cfRule type="cellIs" dxfId="4235" priority="52913" stopIfTrue="1" operator="equal">
      <formula>"En cours"</formula>
    </cfRule>
  </conditionalFormatting>
  <conditionalFormatting sqref="AJ45">
    <cfRule type="cellIs" dxfId="4234" priority="52914" stopIfTrue="1" operator="notEqual">
      <formula>"En cours"</formula>
    </cfRule>
  </conditionalFormatting>
  <conditionalFormatting sqref="AK45">
    <cfRule type="cellIs" dxfId="4233" priority="52915" stopIfTrue="1" operator="equal">
      <formula>"En cours"</formula>
    </cfRule>
  </conditionalFormatting>
  <conditionalFormatting sqref="AK45">
    <cfRule type="cellIs" dxfId="4232" priority="52916" stopIfTrue="1" operator="notEqual">
      <formula>"En cours"</formula>
    </cfRule>
  </conditionalFormatting>
  <conditionalFormatting sqref="AJ46">
    <cfRule type="cellIs" dxfId="4231" priority="52917" stopIfTrue="1" operator="equal">
      <formula>"En cours"</formula>
    </cfRule>
  </conditionalFormatting>
  <conditionalFormatting sqref="AJ46">
    <cfRule type="cellIs" dxfId="4230" priority="52918" stopIfTrue="1" operator="notEqual">
      <formula>"En cours"</formula>
    </cfRule>
  </conditionalFormatting>
  <conditionalFormatting sqref="AK46">
    <cfRule type="cellIs" dxfId="4229" priority="52919" stopIfTrue="1" operator="equal">
      <formula>"En cours"</formula>
    </cfRule>
  </conditionalFormatting>
  <conditionalFormatting sqref="AK46">
    <cfRule type="cellIs" dxfId="4228" priority="52920" stopIfTrue="1" operator="notEqual">
      <formula>"En cours"</formula>
    </cfRule>
  </conditionalFormatting>
  <conditionalFormatting sqref="AJ47">
    <cfRule type="cellIs" dxfId="4227" priority="52921" stopIfTrue="1" operator="equal">
      <formula>"En cours"</formula>
    </cfRule>
  </conditionalFormatting>
  <conditionalFormatting sqref="AJ47">
    <cfRule type="cellIs" dxfId="4226" priority="52922" stopIfTrue="1" operator="notEqual">
      <formula>"En cours"</formula>
    </cfRule>
  </conditionalFormatting>
  <conditionalFormatting sqref="AK47">
    <cfRule type="cellIs" dxfId="4225" priority="52923" stopIfTrue="1" operator="equal">
      <formula>"En cours"</formula>
    </cfRule>
  </conditionalFormatting>
  <conditionalFormatting sqref="AK47">
    <cfRule type="cellIs" dxfId="4224" priority="52924" stopIfTrue="1" operator="notEqual">
      <formula>"En cours"</formula>
    </cfRule>
  </conditionalFormatting>
  <conditionalFormatting sqref="AJ48">
    <cfRule type="cellIs" dxfId="4223" priority="52925" stopIfTrue="1" operator="equal">
      <formula>"En cours"</formula>
    </cfRule>
  </conditionalFormatting>
  <conditionalFormatting sqref="AJ48">
    <cfRule type="cellIs" dxfId="4222" priority="52926" stopIfTrue="1" operator="notEqual">
      <formula>"En cours"</formula>
    </cfRule>
  </conditionalFormatting>
  <conditionalFormatting sqref="AK48">
    <cfRule type="cellIs" dxfId="4221" priority="52927" stopIfTrue="1" operator="equal">
      <formula>"En cours"</formula>
    </cfRule>
  </conditionalFormatting>
  <conditionalFormatting sqref="AK48">
    <cfRule type="cellIs" dxfId="4220" priority="52928" stopIfTrue="1" operator="notEqual">
      <formula>"En cours"</formula>
    </cfRule>
  </conditionalFormatting>
  <conditionalFormatting sqref="AJ49">
    <cfRule type="cellIs" dxfId="4219" priority="52929" stopIfTrue="1" operator="equal">
      <formula>"En cours"</formula>
    </cfRule>
  </conditionalFormatting>
  <conditionalFormatting sqref="AJ49">
    <cfRule type="cellIs" dxfId="4218" priority="52930" stopIfTrue="1" operator="notEqual">
      <formula>"En cours"</formula>
    </cfRule>
  </conditionalFormatting>
  <conditionalFormatting sqref="AK49">
    <cfRule type="cellIs" dxfId="4217" priority="52931" stopIfTrue="1" operator="equal">
      <formula>"En cours"</formula>
    </cfRule>
  </conditionalFormatting>
  <conditionalFormatting sqref="AK49">
    <cfRule type="cellIs" dxfId="4216" priority="52932" stopIfTrue="1" operator="notEqual">
      <formula>"En cours"</formula>
    </cfRule>
  </conditionalFormatting>
  <conditionalFormatting sqref="AJ50">
    <cfRule type="cellIs" dxfId="4215" priority="52933" stopIfTrue="1" operator="equal">
      <formula>"En cours"</formula>
    </cfRule>
  </conditionalFormatting>
  <conditionalFormatting sqref="AJ50">
    <cfRule type="cellIs" dxfId="4214" priority="52934" stopIfTrue="1" operator="notEqual">
      <formula>"En cours"</formula>
    </cfRule>
  </conditionalFormatting>
  <conditionalFormatting sqref="AK50">
    <cfRule type="cellIs" dxfId="4213" priority="52935" stopIfTrue="1" operator="equal">
      <formula>"En cours"</formula>
    </cfRule>
  </conditionalFormatting>
  <conditionalFormatting sqref="AK50">
    <cfRule type="cellIs" dxfId="4212" priority="52936" stopIfTrue="1" operator="notEqual">
      <formula>"En cours"</formula>
    </cfRule>
  </conditionalFormatting>
  <conditionalFormatting sqref="AJ51">
    <cfRule type="cellIs" dxfId="4211" priority="52937" stopIfTrue="1" operator="equal">
      <formula>"En cours"</formula>
    </cfRule>
  </conditionalFormatting>
  <conditionalFormatting sqref="AJ51">
    <cfRule type="cellIs" dxfId="4210" priority="52938" stopIfTrue="1" operator="notEqual">
      <formula>"En cours"</formula>
    </cfRule>
  </conditionalFormatting>
  <conditionalFormatting sqref="AK51">
    <cfRule type="cellIs" dxfId="4209" priority="52939" stopIfTrue="1" operator="equal">
      <formula>"En cours"</formula>
    </cfRule>
  </conditionalFormatting>
  <conditionalFormatting sqref="AK51">
    <cfRule type="cellIs" dxfId="4208" priority="52940" stopIfTrue="1" operator="notEqual">
      <formula>"En cours"</formula>
    </cfRule>
  </conditionalFormatting>
  <conditionalFormatting sqref="AJ52">
    <cfRule type="cellIs" dxfId="4207" priority="52941" stopIfTrue="1" operator="equal">
      <formula>"En cours"</formula>
    </cfRule>
  </conditionalFormatting>
  <conditionalFormatting sqref="AJ52">
    <cfRule type="cellIs" dxfId="4206" priority="52942" stopIfTrue="1" operator="notEqual">
      <formula>"En cours"</formula>
    </cfRule>
  </conditionalFormatting>
  <conditionalFormatting sqref="AK52">
    <cfRule type="cellIs" dxfId="4205" priority="52943" stopIfTrue="1" operator="equal">
      <formula>"En cours"</formula>
    </cfRule>
  </conditionalFormatting>
  <conditionalFormatting sqref="AK52">
    <cfRule type="cellIs" dxfId="4204" priority="52944" stopIfTrue="1" operator="notEqual">
      <formula>"En cours"</formula>
    </cfRule>
  </conditionalFormatting>
  <conditionalFormatting sqref="AJ53">
    <cfRule type="cellIs" dxfId="4203" priority="52945" stopIfTrue="1" operator="equal">
      <formula>"En cours"</formula>
    </cfRule>
  </conditionalFormatting>
  <conditionalFormatting sqref="AJ53">
    <cfRule type="cellIs" dxfId="4202" priority="52946" stopIfTrue="1" operator="notEqual">
      <formula>"En cours"</formula>
    </cfRule>
  </conditionalFormatting>
  <conditionalFormatting sqref="AK53">
    <cfRule type="cellIs" dxfId="4201" priority="52947" stopIfTrue="1" operator="equal">
      <formula>"En cours"</formula>
    </cfRule>
  </conditionalFormatting>
  <conditionalFormatting sqref="AK53">
    <cfRule type="cellIs" dxfId="4200" priority="52948" stopIfTrue="1" operator="notEqual">
      <formula>"En cours"</formula>
    </cfRule>
  </conditionalFormatting>
  <conditionalFormatting sqref="AJ54">
    <cfRule type="cellIs" dxfId="4199" priority="52949" stopIfTrue="1" operator="equal">
      <formula>"En cours"</formula>
    </cfRule>
  </conditionalFormatting>
  <conditionalFormatting sqref="AJ54">
    <cfRule type="cellIs" dxfId="4198" priority="52950" stopIfTrue="1" operator="notEqual">
      <formula>"En cours"</formula>
    </cfRule>
  </conditionalFormatting>
  <conditionalFormatting sqref="AK54">
    <cfRule type="cellIs" dxfId="4197" priority="52951" stopIfTrue="1" operator="equal">
      <formula>"En cours"</formula>
    </cfRule>
  </conditionalFormatting>
  <conditionalFormatting sqref="AK54">
    <cfRule type="cellIs" dxfId="4196" priority="52952" stopIfTrue="1" operator="notEqual">
      <formula>"En cours"</formula>
    </cfRule>
  </conditionalFormatting>
  <conditionalFormatting sqref="AJ55">
    <cfRule type="cellIs" dxfId="4195" priority="52953" stopIfTrue="1" operator="equal">
      <formula>"En cours"</formula>
    </cfRule>
  </conditionalFormatting>
  <conditionalFormatting sqref="AJ55">
    <cfRule type="cellIs" dxfId="4194" priority="52954" stopIfTrue="1" operator="notEqual">
      <formula>"En cours"</formula>
    </cfRule>
  </conditionalFormatting>
  <conditionalFormatting sqref="AK55">
    <cfRule type="cellIs" dxfId="4193" priority="52955" stopIfTrue="1" operator="equal">
      <formula>"En cours"</formula>
    </cfRule>
  </conditionalFormatting>
  <conditionalFormatting sqref="AK55">
    <cfRule type="cellIs" dxfId="4192" priority="52956" stopIfTrue="1" operator="notEqual">
      <formula>"En cours"</formula>
    </cfRule>
  </conditionalFormatting>
  <conditionalFormatting sqref="AJ56">
    <cfRule type="cellIs" dxfId="4191" priority="52957" stopIfTrue="1" operator="equal">
      <formula>"En cours"</formula>
    </cfRule>
  </conditionalFormatting>
  <conditionalFormatting sqref="AJ56">
    <cfRule type="cellIs" dxfId="4190" priority="52958" stopIfTrue="1" operator="notEqual">
      <formula>"En cours"</formula>
    </cfRule>
  </conditionalFormatting>
  <conditionalFormatting sqref="AK56">
    <cfRule type="cellIs" dxfId="4189" priority="52959" stopIfTrue="1" operator="equal">
      <formula>"En cours"</formula>
    </cfRule>
  </conditionalFormatting>
  <conditionalFormatting sqref="AK56">
    <cfRule type="cellIs" dxfId="4188" priority="52960" stopIfTrue="1" operator="notEqual">
      <formula>"En cours"</formula>
    </cfRule>
  </conditionalFormatting>
  <conditionalFormatting sqref="AJ57">
    <cfRule type="cellIs" dxfId="4187" priority="52961" stopIfTrue="1" operator="equal">
      <formula>"En cours"</formula>
    </cfRule>
  </conditionalFormatting>
  <conditionalFormatting sqref="AJ57">
    <cfRule type="cellIs" dxfId="4186" priority="52962" stopIfTrue="1" operator="notEqual">
      <formula>"En cours"</formula>
    </cfRule>
  </conditionalFormatting>
  <conditionalFormatting sqref="AK57">
    <cfRule type="cellIs" dxfId="4185" priority="52963" stopIfTrue="1" operator="equal">
      <formula>"En cours"</formula>
    </cfRule>
  </conditionalFormatting>
  <conditionalFormatting sqref="AK57">
    <cfRule type="cellIs" dxfId="4184" priority="52964" stopIfTrue="1" operator="notEqual">
      <formula>"En cours"</formula>
    </cfRule>
  </conditionalFormatting>
  <conditionalFormatting sqref="AJ58">
    <cfRule type="cellIs" dxfId="4183" priority="52965" stopIfTrue="1" operator="equal">
      <formula>"En cours"</formula>
    </cfRule>
  </conditionalFormatting>
  <conditionalFormatting sqref="AJ58">
    <cfRule type="cellIs" dxfId="4182" priority="52966" stopIfTrue="1" operator="notEqual">
      <formula>"En cours"</formula>
    </cfRule>
  </conditionalFormatting>
  <conditionalFormatting sqref="AK58">
    <cfRule type="cellIs" dxfId="4181" priority="52967" stopIfTrue="1" operator="equal">
      <formula>"En cours"</formula>
    </cfRule>
  </conditionalFormatting>
  <conditionalFormatting sqref="AK58">
    <cfRule type="cellIs" dxfId="4180" priority="52968" stopIfTrue="1" operator="notEqual">
      <formula>"En cours"</formula>
    </cfRule>
  </conditionalFormatting>
  <conditionalFormatting sqref="AJ59">
    <cfRule type="cellIs" dxfId="4179" priority="52969" stopIfTrue="1" operator="equal">
      <formula>"En cours"</formula>
    </cfRule>
  </conditionalFormatting>
  <conditionalFormatting sqref="AJ59">
    <cfRule type="cellIs" dxfId="4178" priority="52970" stopIfTrue="1" operator="notEqual">
      <formula>"En cours"</formula>
    </cfRule>
  </conditionalFormatting>
  <conditionalFormatting sqref="AK59">
    <cfRule type="cellIs" dxfId="4177" priority="52971" stopIfTrue="1" operator="equal">
      <formula>"En cours"</formula>
    </cfRule>
  </conditionalFormatting>
  <conditionalFormatting sqref="AK59">
    <cfRule type="cellIs" dxfId="4176" priority="52972" stopIfTrue="1" operator="notEqual">
      <formula>"En cours"</formula>
    </cfRule>
  </conditionalFormatting>
  <conditionalFormatting sqref="AJ60">
    <cfRule type="cellIs" dxfId="4175" priority="52973" stopIfTrue="1" operator="equal">
      <formula>"En cours"</formula>
    </cfRule>
  </conditionalFormatting>
  <conditionalFormatting sqref="AJ60">
    <cfRule type="cellIs" dxfId="4174" priority="52974" stopIfTrue="1" operator="notEqual">
      <formula>"En cours"</formula>
    </cfRule>
  </conditionalFormatting>
  <conditionalFormatting sqref="AK60">
    <cfRule type="cellIs" dxfId="4173" priority="52975" stopIfTrue="1" operator="equal">
      <formula>"En cours"</formula>
    </cfRule>
  </conditionalFormatting>
  <conditionalFormatting sqref="AK60">
    <cfRule type="cellIs" dxfId="4172" priority="52976" stopIfTrue="1" operator="notEqual">
      <formula>"En cours"</formula>
    </cfRule>
  </conditionalFormatting>
  <conditionalFormatting sqref="AJ61">
    <cfRule type="cellIs" dxfId="4171" priority="52977" stopIfTrue="1" operator="equal">
      <formula>"En cours"</formula>
    </cfRule>
  </conditionalFormatting>
  <conditionalFormatting sqref="AJ61">
    <cfRule type="cellIs" dxfId="4170" priority="52978" stopIfTrue="1" operator="notEqual">
      <formula>"En cours"</formula>
    </cfRule>
  </conditionalFormatting>
  <conditionalFormatting sqref="AK61">
    <cfRule type="cellIs" dxfId="4169" priority="52979" stopIfTrue="1" operator="equal">
      <formula>"En cours"</formula>
    </cfRule>
  </conditionalFormatting>
  <conditionalFormatting sqref="AK61">
    <cfRule type="cellIs" dxfId="4168" priority="52980" stopIfTrue="1" operator="notEqual">
      <formula>"En cours"</formula>
    </cfRule>
  </conditionalFormatting>
  <conditionalFormatting sqref="AJ62">
    <cfRule type="cellIs" dxfId="4167" priority="52981" stopIfTrue="1" operator="equal">
      <formula>"En cours"</formula>
    </cfRule>
  </conditionalFormatting>
  <conditionalFormatting sqref="AJ62">
    <cfRule type="cellIs" dxfId="4166" priority="52982" stopIfTrue="1" operator="notEqual">
      <formula>"En cours"</formula>
    </cfRule>
  </conditionalFormatting>
  <conditionalFormatting sqref="AK62">
    <cfRule type="cellIs" dxfId="4165" priority="52983" stopIfTrue="1" operator="equal">
      <formula>"En cours"</formula>
    </cfRule>
  </conditionalFormatting>
  <conditionalFormatting sqref="AK62">
    <cfRule type="cellIs" dxfId="4164" priority="52984" stopIfTrue="1" operator="notEqual">
      <formula>"En cours"</formula>
    </cfRule>
  </conditionalFormatting>
  <conditionalFormatting sqref="AJ63">
    <cfRule type="cellIs" dxfId="4163" priority="52985" stopIfTrue="1" operator="equal">
      <formula>"En cours"</formula>
    </cfRule>
  </conditionalFormatting>
  <conditionalFormatting sqref="AJ63">
    <cfRule type="cellIs" dxfId="4162" priority="52986" stopIfTrue="1" operator="notEqual">
      <formula>"En cours"</formula>
    </cfRule>
  </conditionalFormatting>
  <conditionalFormatting sqref="AK63">
    <cfRule type="cellIs" dxfId="4161" priority="52987" stopIfTrue="1" operator="equal">
      <formula>"En cours"</formula>
    </cfRule>
  </conditionalFormatting>
  <conditionalFormatting sqref="AK63">
    <cfRule type="cellIs" dxfId="4160" priority="52988" stopIfTrue="1" operator="notEqual">
      <formula>"En cours"</formula>
    </cfRule>
  </conditionalFormatting>
  <conditionalFormatting sqref="AJ64">
    <cfRule type="cellIs" dxfId="4159" priority="52989" stopIfTrue="1" operator="equal">
      <formula>"En cours"</formula>
    </cfRule>
  </conditionalFormatting>
  <conditionalFormatting sqref="AJ64">
    <cfRule type="cellIs" dxfId="4158" priority="52990" stopIfTrue="1" operator="notEqual">
      <formula>"En cours"</formula>
    </cfRule>
  </conditionalFormatting>
  <conditionalFormatting sqref="AK64">
    <cfRule type="cellIs" dxfId="4157" priority="52991" stopIfTrue="1" operator="equal">
      <formula>"En cours"</formula>
    </cfRule>
  </conditionalFormatting>
  <conditionalFormatting sqref="AK64">
    <cfRule type="cellIs" dxfId="4156" priority="52992" stopIfTrue="1" operator="notEqual">
      <formula>"En cours"</formula>
    </cfRule>
  </conditionalFormatting>
  <conditionalFormatting sqref="AJ65">
    <cfRule type="cellIs" dxfId="4155" priority="52993" stopIfTrue="1" operator="equal">
      <formula>"En cours"</formula>
    </cfRule>
  </conditionalFormatting>
  <conditionalFormatting sqref="AJ65">
    <cfRule type="cellIs" dxfId="4154" priority="52994" stopIfTrue="1" operator="notEqual">
      <formula>"En cours"</formula>
    </cfRule>
  </conditionalFormatting>
  <conditionalFormatting sqref="AK65">
    <cfRule type="cellIs" dxfId="4153" priority="52995" stopIfTrue="1" operator="equal">
      <formula>"En cours"</formula>
    </cfRule>
  </conditionalFormatting>
  <conditionalFormatting sqref="AK65">
    <cfRule type="cellIs" dxfId="4152" priority="52996" stopIfTrue="1" operator="notEqual">
      <formula>"En cours"</formula>
    </cfRule>
  </conditionalFormatting>
  <conditionalFormatting sqref="AJ66">
    <cfRule type="cellIs" dxfId="4151" priority="52997" stopIfTrue="1" operator="equal">
      <formula>"En cours"</formula>
    </cfRule>
  </conditionalFormatting>
  <conditionalFormatting sqref="AJ66">
    <cfRule type="cellIs" dxfId="4150" priority="52998" stopIfTrue="1" operator="notEqual">
      <formula>"En cours"</formula>
    </cfRule>
  </conditionalFormatting>
  <conditionalFormatting sqref="AK66">
    <cfRule type="cellIs" dxfId="4149" priority="52999" stopIfTrue="1" operator="equal">
      <formula>"En cours"</formula>
    </cfRule>
  </conditionalFormatting>
  <conditionalFormatting sqref="AK66">
    <cfRule type="cellIs" dxfId="4148" priority="53000" stopIfTrue="1" operator="notEqual">
      <formula>"En cours"</formula>
    </cfRule>
  </conditionalFormatting>
  <conditionalFormatting sqref="AJ67">
    <cfRule type="cellIs" dxfId="4147" priority="53001" stopIfTrue="1" operator="equal">
      <formula>"En cours"</formula>
    </cfRule>
  </conditionalFormatting>
  <conditionalFormatting sqref="AJ67">
    <cfRule type="cellIs" dxfId="4146" priority="53002" stopIfTrue="1" operator="notEqual">
      <formula>"En cours"</formula>
    </cfRule>
  </conditionalFormatting>
  <conditionalFormatting sqref="AK67">
    <cfRule type="cellIs" dxfId="4145" priority="53003" stopIfTrue="1" operator="equal">
      <formula>"En cours"</formula>
    </cfRule>
  </conditionalFormatting>
  <conditionalFormatting sqref="AK67">
    <cfRule type="cellIs" dxfId="4144" priority="53004" stopIfTrue="1" operator="notEqual">
      <formula>"En cours"</formula>
    </cfRule>
  </conditionalFormatting>
  <conditionalFormatting sqref="AJ22">
    <cfRule type="cellIs" dxfId="4087" priority="55145" stopIfTrue="1" operator="equal">
      <formula>"En cours"</formula>
    </cfRule>
  </conditionalFormatting>
  <conditionalFormatting sqref="AJ22">
    <cfRule type="cellIs" dxfId="4086" priority="55146" stopIfTrue="1" operator="notEqual">
      <formula>"En cours"</formula>
    </cfRule>
  </conditionalFormatting>
  <conditionalFormatting sqref="AK22">
    <cfRule type="cellIs" dxfId="4085" priority="55147" stopIfTrue="1" operator="equal">
      <formula>"En cours"</formula>
    </cfRule>
  </conditionalFormatting>
  <conditionalFormatting sqref="AK22">
    <cfRule type="cellIs" dxfId="4084" priority="55148" stopIfTrue="1" operator="notEqual">
      <formula>"En cours"</formula>
    </cfRule>
  </conditionalFormatting>
  <conditionalFormatting sqref="AJ23">
    <cfRule type="cellIs" dxfId="4079" priority="55153" stopIfTrue="1" operator="equal">
      <formula>"En cours"</formula>
    </cfRule>
  </conditionalFormatting>
  <conditionalFormatting sqref="AJ23">
    <cfRule type="cellIs" dxfId="4078" priority="55154" stopIfTrue="1" operator="notEqual">
      <formula>"En cours"</formula>
    </cfRule>
  </conditionalFormatting>
  <conditionalFormatting sqref="AK23">
    <cfRule type="cellIs" dxfId="4077" priority="55155" stopIfTrue="1" operator="equal">
      <formula>"En cours"</formula>
    </cfRule>
  </conditionalFormatting>
  <conditionalFormatting sqref="AK23">
    <cfRule type="cellIs" dxfId="4076" priority="55156" stopIfTrue="1" operator="notEqual">
      <formula>"En cours"</formula>
    </cfRule>
  </conditionalFormatting>
  <conditionalFormatting sqref="AJ21">
    <cfRule type="cellIs" dxfId="4075" priority="55157" stopIfTrue="1" operator="equal">
      <formula>"En cours"</formula>
    </cfRule>
  </conditionalFormatting>
  <conditionalFormatting sqref="AJ21">
    <cfRule type="cellIs" dxfId="4074" priority="55158" stopIfTrue="1" operator="notEqual">
      <formula>"En cours"</formula>
    </cfRule>
  </conditionalFormatting>
  <conditionalFormatting sqref="AK21">
    <cfRule type="cellIs" dxfId="4073" priority="55159" stopIfTrue="1" operator="equal">
      <formula>"En cours"</formula>
    </cfRule>
  </conditionalFormatting>
  <conditionalFormatting sqref="AK21">
    <cfRule type="cellIs" dxfId="4072" priority="55160" stopIfTrue="1" operator="notEqual">
      <formula>"En cours"</formula>
    </cfRule>
  </conditionalFormatting>
  <conditionalFormatting sqref="AJ27">
    <cfRule type="cellIs" dxfId="4071" priority="55161" stopIfTrue="1" operator="equal">
      <formula>"En cours"</formula>
    </cfRule>
  </conditionalFormatting>
  <conditionalFormatting sqref="AJ27">
    <cfRule type="cellIs" dxfId="4070" priority="55162" stopIfTrue="1" operator="notEqual">
      <formula>"En cours"</formula>
    </cfRule>
  </conditionalFormatting>
  <conditionalFormatting sqref="AK27">
    <cfRule type="cellIs" dxfId="4069" priority="55163" stopIfTrue="1" operator="equal">
      <formula>"En cours"</formula>
    </cfRule>
  </conditionalFormatting>
  <conditionalFormatting sqref="AK27">
    <cfRule type="cellIs" dxfId="4068" priority="55164" stopIfTrue="1" operator="notEqual">
      <formula>"En cours"</formula>
    </cfRule>
  </conditionalFormatting>
  <conditionalFormatting sqref="AJ26">
    <cfRule type="cellIs" dxfId="4067" priority="55165" stopIfTrue="1" operator="equal">
      <formula>"En cours"</formula>
    </cfRule>
  </conditionalFormatting>
  <conditionalFormatting sqref="AJ26">
    <cfRule type="cellIs" dxfId="4066" priority="55166" stopIfTrue="1" operator="notEqual">
      <formula>"En cours"</formula>
    </cfRule>
  </conditionalFormatting>
  <conditionalFormatting sqref="AK26">
    <cfRule type="cellIs" dxfId="4065" priority="55167" stopIfTrue="1" operator="equal">
      <formula>"En cours"</formula>
    </cfRule>
  </conditionalFormatting>
  <conditionalFormatting sqref="AK26">
    <cfRule type="cellIs" dxfId="4064" priority="55168" stopIfTrue="1" operator="notEqual">
      <formula>"En cours"</formula>
    </cfRule>
  </conditionalFormatting>
  <conditionalFormatting sqref="AJ24">
    <cfRule type="cellIs" dxfId="4063" priority="55169" stopIfTrue="1" operator="equal">
      <formula>"En cours"</formula>
    </cfRule>
  </conditionalFormatting>
  <conditionalFormatting sqref="AJ24">
    <cfRule type="cellIs" dxfId="4062" priority="55170" stopIfTrue="1" operator="notEqual">
      <formula>"En cours"</formula>
    </cfRule>
  </conditionalFormatting>
  <conditionalFormatting sqref="AK24">
    <cfRule type="cellIs" dxfId="4061" priority="55171" stopIfTrue="1" operator="equal">
      <formula>"En cours"</formula>
    </cfRule>
  </conditionalFormatting>
  <conditionalFormatting sqref="AK24">
    <cfRule type="cellIs" dxfId="4060" priority="55172" stopIfTrue="1" operator="notEqual">
      <formula>"En cours"</formula>
    </cfRule>
  </conditionalFormatting>
  <conditionalFormatting sqref="AJ28">
    <cfRule type="cellIs" dxfId="4059" priority="55173" stopIfTrue="1" operator="equal">
      <formula>"En cours"</formula>
    </cfRule>
  </conditionalFormatting>
  <conditionalFormatting sqref="AJ28">
    <cfRule type="cellIs" dxfId="4058" priority="55174" stopIfTrue="1" operator="notEqual">
      <formula>"En cours"</formula>
    </cfRule>
  </conditionalFormatting>
  <conditionalFormatting sqref="AK28">
    <cfRule type="cellIs" dxfId="4057" priority="55175" stopIfTrue="1" operator="equal">
      <formula>"En cours"</formula>
    </cfRule>
  </conditionalFormatting>
  <conditionalFormatting sqref="AK28">
    <cfRule type="cellIs" dxfId="4056" priority="55176" stopIfTrue="1" operator="notEqual">
      <formula>"En cours"</formula>
    </cfRule>
  </conditionalFormatting>
  <conditionalFormatting sqref="AJ25">
    <cfRule type="cellIs" dxfId="4055" priority="55177" stopIfTrue="1" operator="equal">
      <formula>"En cours"</formula>
    </cfRule>
  </conditionalFormatting>
  <conditionalFormatting sqref="AJ25">
    <cfRule type="cellIs" dxfId="4054" priority="55178" stopIfTrue="1" operator="notEqual">
      <formula>"En cours"</formula>
    </cfRule>
  </conditionalFormatting>
  <conditionalFormatting sqref="AK25">
    <cfRule type="cellIs" dxfId="4053" priority="55179" stopIfTrue="1" operator="equal">
      <formula>"En cours"</formula>
    </cfRule>
  </conditionalFormatting>
  <conditionalFormatting sqref="AK25">
    <cfRule type="cellIs" dxfId="4052" priority="55180" stopIfTrue="1" operator="notEqual">
      <formula>"En cours"</formula>
    </cfRule>
  </conditionalFormatting>
  <conditionalFormatting sqref="AJ29">
    <cfRule type="cellIs" dxfId="4051" priority="55181" stopIfTrue="1" operator="equal">
      <formula>"En cours"</formula>
    </cfRule>
  </conditionalFormatting>
  <conditionalFormatting sqref="AJ29">
    <cfRule type="cellIs" dxfId="4050" priority="55182" stopIfTrue="1" operator="notEqual">
      <formula>"En cours"</formula>
    </cfRule>
  </conditionalFormatting>
  <conditionalFormatting sqref="AK29">
    <cfRule type="cellIs" dxfId="4049" priority="55183" stopIfTrue="1" operator="equal">
      <formula>"En cours"</formula>
    </cfRule>
  </conditionalFormatting>
  <conditionalFormatting sqref="AK29">
    <cfRule type="cellIs" dxfId="4048" priority="55184" stopIfTrue="1" operator="notEqual">
      <formula>"En cours"</formula>
    </cfRule>
  </conditionalFormatting>
  <conditionalFormatting sqref="AJ30">
    <cfRule type="cellIs" dxfId="4047" priority="55185" stopIfTrue="1" operator="equal">
      <formula>"En cours"</formula>
    </cfRule>
  </conditionalFormatting>
  <conditionalFormatting sqref="AJ30">
    <cfRule type="cellIs" dxfId="4046" priority="55186" stopIfTrue="1" operator="notEqual">
      <formula>"En cours"</formula>
    </cfRule>
  </conditionalFormatting>
  <conditionalFormatting sqref="AK30">
    <cfRule type="cellIs" dxfId="4045" priority="55187" stopIfTrue="1" operator="equal">
      <formula>"En cours"</formula>
    </cfRule>
  </conditionalFormatting>
  <conditionalFormatting sqref="AK30">
    <cfRule type="cellIs" dxfId="4044" priority="55188" stopIfTrue="1" operator="notEqual">
      <formula>"En cours"</formula>
    </cfRule>
  </conditionalFormatting>
  <conditionalFormatting sqref="AJ31">
    <cfRule type="cellIs" dxfId="4043" priority="55189" stopIfTrue="1" operator="equal">
      <formula>"En cours"</formula>
    </cfRule>
  </conditionalFormatting>
  <conditionalFormatting sqref="AJ31">
    <cfRule type="cellIs" dxfId="4042" priority="55190" stopIfTrue="1" operator="notEqual">
      <formula>"En cours"</formula>
    </cfRule>
  </conditionalFormatting>
  <conditionalFormatting sqref="AK31">
    <cfRule type="cellIs" dxfId="4041" priority="55191" stopIfTrue="1" operator="equal">
      <formula>"En cours"</formula>
    </cfRule>
  </conditionalFormatting>
  <conditionalFormatting sqref="AK31">
    <cfRule type="cellIs" dxfId="4040" priority="55192" stopIfTrue="1" operator="notEqual">
      <formula>"En cours"</formula>
    </cfRule>
  </conditionalFormatting>
  <conditionalFormatting sqref="AJ32">
    <cfRule type="cellIs" dxfId="4039" priority="55193" stopIfTrue="1" operator="equal">
      <formula>"En cours"</formula>
    </cfRule>
  </conditionalFormatting>
  <conditionalFormatting sqref="AJ32">
    <cfRule type="cellIs" dxfId="4038" priority="55194" stopIfTrue="1" operator="notEqual">
      <formula>"En cours"</formula>
    </cfRule>
  </conditionalFormatting>
  <conditionalFormatting sqref="AK32">
    <cfRule type="cellIs" dxfId="4037" priority="55195" stopIfTrue="1" operator="equal">
      <formula>"En cours"</formula>
    </cfRule>
  </conditionalFormatting>
  <conditionalFormatting sqref="AK32">
    <cfRule type="cellIs" dxfId="4036" priority="55196" stopIfTrue="1" operator="notEqual">
      <formula>"En cours"</formula>
    </cfRule>
  </conditionalFormatting>
  <conditionalFormatting sqref="AJ33">
    <cfRule type="cellIs" dxfId="4035" priority="55197" stopIfTrue="1" operator="equal">
      <formula>"En cours"</formula>
    </cfRule>
  </conditionalFormatting>
  <conditionalFormatting sqref="AJ33">
    <cfRule type="cellIs" dxfId="4034" priority="55198" stopIfTrue="1" operator="notEqual">
      <formula>"En cours"</formula>
    </cfRule>
  </conditionalFormatting>
  <conditionalFormatting sqref="AK33">
    <cfRule type="cellIs" dxfId="4033" priority="55199" stopIfTrue="1" operator="equal">
      <formula>"En cours"</formula>
    </cfRule>
  </conditionalFormatting>
  <conditionalFormatting sqref="AK33">
    <cfRule type="cellIs" dxfId="4032" priority="55200" stopIfTrue="1" operator="notEqual">
      <formula>"En cours"</formula>
    </cfRule>
  </conditionalFormatting>
  <conditionalFormatting sqref="AJ35">
    <cfRule type="cellIs" dxfId="4031" priority="55201" stopIfTrue="1" operator="equal">
      <formula>"En cours"</formula>
    </cfRule>
  </conditionalFormatting>
  <conditionalFormatting sqref="AJ35">
    <cfRule type="cellIs" dxfId="4030" priority="55202" stopIfTrue="1" operator="notEqual">
      <formula>"En cours"</formula>
    </cfRule>
  </conditionalFormatting>
  <conditionalFormatting sqref="AK35">
    <cfRule type="cellIs" dxfId="4029" priority="55203" stopIfTrue="1" operator="equal">
      <formula>"En cours"</formula>
    </cfRule>
  </conditionalFormatting>
  <conditionalFormatting sqref="AK35">
    <cfRule type="cellIs" dxfId="4028" priority="55204" stopIfTrue="1" operator="notEqual">
      <formula>"En cours"</formula>
    </cfRule>
  </conditionalFormatting>
  <conditionalFormatting sqref="AJ36">
    <cfRule type="cellIs" dxfId="4027" priority="55205" stopIfTrue="1" operator="equal">
      <formula>"En cours"</formula>
    </cfRule>
  </conditionalFormatting>
  <conditionalFormatting sqref="AJ36">
    <cfRule type="cellIs" dxfId="4026" priority="55206" stopIfTrue="1" operator="notEqual">
      <formula>"En cours"</formula>
    </cfRule>
  </conditionalFormatting>
  <conditionalFormatting sqref="AK36">
    <cfRule type="cellIs" dxfId="4025" priority="55207" stopIfTrue="1" operator="equal">
      <formula>"En cours"</formula>
    </cfRule>
  </conditionalFormatting>
  <conditionalFormatting sqref="AK36">
    <cfRule type="cellIs" dxfId="4024" priority="55208" stopIfTrue="1" operator="notEqual">
      <formula>"En cours"</formula>
    </cfRule>
  </conditionalFormatting>
  <conditionalFormatting sqref="AJ38">
    <cfRule type="cellIs" dxfId="4023" priority="55209" stopIfTrue="1" operator="equal">
      <formula>"En cours"</formula>
    </cfRule>
  </conditionalFormatting>
  <conditionalFormatting sqref="AJ38">
    <cfRule type="cellIs" dxfId="4022" priority="55210" stopIfTrue="1" operator="notEqual">
      <formula>"En cours"</formula>
    </cfRule>
  </conditionalFormatting>
  <conditionalFormatting sqref="AK38">
    <cfRule type="cellIs" dxfId="4021" priority="55211" stopIfTrue="1" operator="equal">
      <formula>"En cours"</formula>
    </cfRule>
  </conditionalFormatting>
  <conditionalFormatting sqref="AK38">
    <cfRule type="cellIs" dxfId="4020" priority="55212" stopIfTrue="1" operator="notEqual">
      <formula>"En cours"</formula>
    </cfRule>
  </conditionalFormatting>
  <conditionalFormatting sqref="AJ34">
    <cfRule type="cellIs" dxfId="4019" priority="55213" stopIfTrue="1" operator="equal">
      <formula>"En cours"</formula>
    </cfRule>
  </conditionalFormatting>
  <conditionalFormatting sqref="AJ34">
    <cfRule type="cellIs" dxfId="4018" priority="55214" stopIfTrue="1" operator="notEqual">
      <formula>"En cours"</formula>
    </cfRule>
  </conditionalFormatting>
  <conditionalFormatting sqref="AK34">
    <cfRule type="cellIs" dxfId="4017" priority="55215" stopIfTrue="1" operator="equal">
      <formula>"En cours"</formula>
    </cfRule>
  </conditionalFormatting>
  <conditionalFormatting sqref="AK34">
    <cfRule type="cellIs" dxfId="4016" priority="55216" stopIfTrue="1" operator="notEqual">
      <formula>"En cours"</formula>
    </cfRule>
  </conditionalFormatting>
  <conditionalFormatting sqref="AJ37">
    <cfRule type="cellIs" dxfId="4015" priority="55217" stopIfTrue="1" operator="equal">
      <formula>"En cours"</formula>
    </cfRule>
  </conditionalFormatting>
  <conditionalFormatting sqref="AJ37">
    <cfRule type="cellIs" dxfId="4014" priority="55218" stopIfTrue="1" operator="notEqual">
      <formula>"En cours"</formula>
    </cfRule>
  </conditionalFormatting>
  <conditionalFormatting sqref="AK37">
    <cfRule type="cellIs" dxfId="4013" priority="55219" stopIfTrue="1" operator="equal">
      <formula>"En cours"</formula>
    </cfRule>
  </conditionalFormatting>
  <conditionalFormatting sqref="AK37">
    <cfRule type="cellIs" dxfId="4012" priority="55220" stopIfTrue="1" operator="notEqual">
      <formula>"En cours"</formula>
    </cfRule>
  </conditionalFormatting>
  <conditionalFormatting sqref="AJ39">
    <cfRule type="cellIs" dxfId="4011" priority="55221" stopIfTrue="1" operator="equal">
      <formula>"En cours"</formula>
    </cfRule>
  </conditionalFormatting>
  <conditionalFormatting sqref="AJ39">
    <cfRule type="cellIs" dxfId="4010" priority="55222" stopIfTrue="1" operator="notEqual">
      <formula>"En cours"</formula>
    </cfRule>
  </conditionalFormatting>
  <conditionalFormatting sqref="AK39">
    <cfRule type="cellIs" dxfId="4009" priority="55223" stopIfTrue="1" operator="equal">
      <formula>"En cours"</formula>
    </cfRule>
  </conditionalFormatting>
  <conditionalFormatting sqref="AK39">
    <cfRule type="cellIs" dxfId="4008" priority="55224" stopIfTrue="1" operator="notEqual">
      <formula>"En cours"</formula>
    </cfRule>
  </conditionalFormatting>
  <conditionalFormatting sqref="AJ40">
    <cfRule type="cellIs" dxfId="4007" priority="55225" stopIfTrue="1" operator="equal">
      <formula>"En cours"</formula>
    </cfRule>
  </conditionalFormatting>
  <conditionalFormatting sqref="AJ40">
    <cfRule type="cellIs" dxfId="4006" priority="55226" stopIfTrue="1" operator="notEqual">
      <formula>"En cours"</formula>
    </cfRule>
  </conditionalFormatting>
  <conditionalFormatting sqref="AK40">
    <cfRule type="cellIs" dxfId="4005" priority="55227" stopIfTrue="1" operator="equal">
      <formula>"En cours"</formula>
    </cfRule>
  </conditionalFormatting>
  <conditionalFormatting sqref="AK40">
    <cfRule type="cellIs" dxfId="4004" priority="55228" stopIfTrue="1" operator="notEqual">
      <formula>"En cours"</formula>
    </cfRule>
  </conditionalFormatting>
  <conditionalFormatting sqref="AJ41">
    <cfRule type="cellIs" dxfId="4003" priority="55229" stopIfTrue="1" operator="equal">
      <formula>"En cours"</formula>
    </cfRule>
  </conditionalFormatting>
  <conditionalFormatting sqref="AJ41">
    <cfRule type="cellIs" dxfId="4002" priority="55230" stopIfTrue="1" operator="notEqual">
      <formula>"En cours"</formula>
    </cfRule>
  </conditionalFormatting>
  <conditionalFormatting sqref="AK41">
    <cfRule type="cellIs" dxfId="4001" priority="55231" stopIfTrue="1" operator="equal">
      <formula>"En cours"</formula>
    </cfRule>
  </conditionalFormatting>
  <conditionalFormatting sqref="AK41">
    <cfRule type="cellIs" dxfId="4000" priority="55232" stopIfTrue="1" operator="notEqual">
      <formula>"En cours"</formula>
    </cfRule>
  </conditionalFormatting>
  <conditionalFormatting sqref="AJ42">
    <cfRule type="cellIs" dxfId="3999" priority="55233" stopIfTrue="1" operator="equal">
      <formula>"En cours"</formula>
    </cfRule>
  </conditionalFormatting>
  <conditionalFormatting sqref="AJ42">
    <cfRule type="cellIs" dxfId="3998" priority="55234" stopIfTrue="1" operator="notEqual">
      <formula>"En cours"</formula>
    </cfRule>
  </conditionalFormatting>
  <conditionalFormatting sqref="AK42">
    <cfRule type="cellIs" dxfId="3997" priority="55235" stopIfTrue="1" operator="equal">
      <formula>"En cours"</formula>
    </cfRule>
  </conditionalFormatting>
  <conditionalFormatting sqref="AK42">
    <cfRule type="cellIs" dxfId="3996" priority="55236" stopIfTrue="1" operator="notEqual">
      <formula>"En cours"</formula>
    </cfRule>
  </conditionalFormatting>
  <conditionalFormatting sqref="AJ5">
    <cfRule type="cellIs" dxfId="67" priority="56033" stopIfTrue="1" operator="equal">
      <formula>"En cours"</formula>
    </cfRule>
  </conditionalFormatting>
  <conditionalFormatting sqref="AJ5">
    <cfRule type="cellIs" dxfId="66" priority="56034" stopIfTrue="1" operator="notEqual">
      <formula>"En cours"</formula>
    </cfRule>
  </conditionalFormatting>
  <conditionalFormatting sqref="AK5">
    <cfRule type="cellIs" dxfId="65" priority="56035" stopIfTrue="1" operator="equal">
      <formula>"En cours"</formula>
    </cfRule>
  </conditionalFormatting>
  <conditionalFormatting sqref="AK5">
    <cfRule type="cellIs" dxfId="64" priority="56036" stopIfTrue="1" operator="notEqual">
      <formula>"En cours"</formula>
    </cfRule>
  </conditionalFormatting>
  <conditionalFormatting sqref="AJ6">
    <cfRule type="cellIs" dxfId="63" priority="56037" stopIfTrue="1" operator="equal">
      <formula>"En cours"</formula>
    </cfRule>
  </conditionalFormatting>
  <conditionalFormatting sqref="AJ6">
    <cfRule type="cellIs" dxfId="62" priority="56038" stopIfTrue="1" operator="notEqual">
      <formula>"En cours"</formula>
    </cfRule>
  </conditionalFormatting>
  <conditionalFormatting sqref="AK6">
    <cfRule type="cellIs" dxfId="61" priority="56039" stopIfTrue="1" operator="equal">
      <formula>"En cours"</formula>
    </cfRule>
  </conditionalFormatting>
  <conditionalFormatting sqref="AK6">
    <cfRule type="cellIs" dxfId="60" priority="56040" stopIfTrue="1" operator="notEqual">
      <formula>"En cours"</formula>
    </cfRule>
  </conditionalFormatting>
  <conditionalFormatting sqref="AJ4">
    <cfRule type="cellIs" dxfId="59" priority="56041" stopIfTrue="1" operator="equal">
      <formula>"En cours"</formula>
    </cfRule>
  </conditionalFormatting>
  <conditionalFormatting sqref="AJ4">
    <cfRule type="cellIs" dxfId="58" priority="56042" stopIfTrue="1" operator="notEqual">
      <formula>"En cours"</formula>
    </cfRule>
  </conditionalFormatting>
  <conditionalFormatting sqref="AK4">
    <cfRule type="cellIs" dxfId="57" priority="56043" stopIfTrue="1" operator="equal">
      <formula>"En cours"</formula>
    </cfRule>
  </conditionalFormatting>
  <conditionalFormatting sqref="AK4">
    <cfRule type="cellIs" dxfId="56" priority="56044" stopIfTrue="1" operator="notEqual">
      <formula>"En cours"</formula>
    </cfRule>
  </conditionalFormatting>
  <conditionalFormatting sqref="AJ7">
    <cfRule type="cellIs" dxfId="55" priority="56045" stopIfTrue="1" operator="equal">
      <formula>"En cours"</formula>
    </cfRule>
  </conditionalFormatting>
  <conditionalFormatting sqref="AJ7">
    <cfRule type="cellIs" dxfId="54" priority="56046" stopIfTrue="1" operator="notEqual">
      <formula>"En cours"</formula>
    </cfRule>
  </conditionalFormatting>
  <conditionalFormatting sqref="AK7">
    <cfRule type="cellIs" dxfId="53" priority="56047" stopIfTrue="1" operator="equal">
      <formula>"En cours"</formula>
    </cfRule>
  </conditionalFormatting>
  <conditionalFormatting sqref="AK7">
    <cfRule type="cellIs" dxfId="52" priority="56048" stopIfTrue="1" operator="notEqual">
      <formula>"En cours"</formula>
    </cfRule>
  </conditionalFormatting>
  <conditionalFormatting sqref="AJ8">
    <cfRule type="cellIs" dxfId="51" priority="56049" stopIfTrue="1" operator="equal">
      <formula>"En cours"</formula>
    </cfRule>
  </conditionalFormatting>
  <conditionalFormatting sqref="AJ8">
    <cfRule type="cellIs" dxfId="50" priority="56050" stopIfTrue="1" operator="notEqual">
      <formula>"En cours"</formula>
    </cfRule>
  </conditionalFormatting>
  <conditionalFormatting sqref="AK8">
    <cfRule type="cellIs" dxfId="49" priority="56051" stopIfTrue="1" operator="equal">
      <formula>"En cours"</formula>
    </cfRule>
  </conditionalFormatting>
  <conditionalFormatting sqref="AK8">
    <cfRule type="cellIs" dxfId="48" priority="56052" stopIfTrue="1" operator="notEqual">
      <formula>"En cours"</formula>
    </cfRule>
  </conditionalFormatting>
  <conditionalFormatting sqref="AJ9">
    <cfRule type="cellIs" dxfId="47" priority="56053" stopIfTrue="1" operator="equal">
      <formula>"En cours"</formula>
    </cfRule>
  </conditionalFormatting>
  <conditionalFormatting sqref="AJ9">
    <cfRule type="cellIs" dxfId="46" priority="56054" stopIfTrue="1" operator="notEqual">
      <formula>"En cours"</formula>
    </cfRule>
  </conditionalFormatting>
  <conditionalFormatting sqref="AK9">
    <cfRule type="cellIs" dxfId="45" priority="56055" stopIfTrue="1" operator="equal">
      <formula>"En cours"</formula>
    </cfRule>
  </conditionalFormatting>
  <conditionalFormatting sqref="AK9">
    <cfRule type="cellIs" dxfId="44" priority="56056" stopIfTrue="1" operator="notEqual">
      <formula>"En cours"</formula>
    </cfRule>
  </conditionalFormatting>
  <conditionalFormatting sqref="AJ10">
    <cfRule type="cellIs" dxfId="43" priority="56057" stopIfTrue="1" operator="equal">
      <formula>"En cours"</formula>
    </cfRule>
  </conditionalFormatting>
  <conditionalFormatting sqref="AJ10">
    <cfRule type="cellIs" dxfId="42" priority="56058" stopIfTrue="1" operator="notEqual">
      <formula>"En cours"</formula>
    </cfRule>
  </conditionalFormatting>
  <conditionalFormatting sqref="AK10">
    <cfRule type="cellIs" dxfId="41" priority="56059" stopIfTrue="1" operator="equal">
      <formula>"En cours"</formula>
    </cfRule>
  </conditionalFormatting>
  <conditionalFormatting sqref="AK10">
    <cfRule type="cellIs" dxfId="40" priority="56060" stopIfTrue="1" operator="notEqual">
      <formula>"En cours"</formula>
    </cfRule>
  </conditionalFormatting>
  <conditionalFormatting sqref="AJ11">
    <cfRule type="cellIs" dxfId="39" priority="56061" stopIfTrue="1" operator="equal">
      <formula>"En cours"</formula>
    </cfRule>
  </conditionalFormatting>
  <conditionalFormatting sqref="AJ11">
    <cfRule type="cellIs" dxfId="38" priority="56062" stopIfTrue="1" operator="notEqual">
      <formula>"En cours"</formula>
    </cfRule>
  </conditionalFormatting>
  <conditionalFormatting sqref="AK11">
    <cfRule type="cellIs" dxfId="37" priority="56063" stopIfTrue="1" operator="equal">
      <formula>"En cours"</formula>
    </cfRule>
  </conditionalFormatting>
  <conditionalFormatting sqref="AK11">
    <cfRule type="cellIs" dxfId="36" priority="56064" stopIfTrue="1" operator="notEqual">
      <formula>"En cours"</formula>
    </cfRule>
  </conditionalFormatting>
  <conditionalFormatting sqref="AJ12">
    <cfRule type="cellIs" dxfId="35" priority="56065" stopIfTrue="1" operator="equal">
      <formula>"En cours"</formula>
    </cfRule>
  </conditionalFormatting>
  <conditionalFormatting sqref="AJ12">
    <cfRule type="cellIs" dxfId="34" priority="56066" stopIfTrue="1" operator="notEqual">
      <formula>"En cours"</formula>
    </cfRule>
  </conditionalFormatting>
  <conditionalFormatting sqref="AK12">
    <cfRule type="cellIs" dxfId="33" priority="56067" stopIfTrue="1" operator="equal">
      <formula>"En cours"</formula>
    </cfRule>
  </conditionalFormatting>
  <conditionalFormatting sqref="AK12">
    <cfRule type="cellIs" dxfId="32" priority="56068" stopIfTrue="1" operator="notEqual">
      <formula>"En cours"</formula>
    </cfRule>
  </conditionalFormatting>
  <conditionalFormatting sqref="AJ14">
    <cfRule type="cellIs" dxfId="31" priority="56069" stopIfTrue="1" operator="equal">
      <formula>"En cours"</formula>
    </cfRule>
  </conditionalFormatting>
  <conditionalFormatting sqref="AJ14">
    <cfRule type="cellIs" dxfId="30" priority="56070" stopIfTrue="1" operator="notEqual">
      <formula>"En cours"</formula>
    </cfRule>
  </conditionalFormatting>
  <conditionalFormatting sqref="AK14">
    <cfRule type="cellIs" dxfId="29" priority="56071" stopIfTrue="1" operator="equal">
      <formula>"En cours"</formula>
    </cfRule>
  </conditionalFormatting>
  <conditionalFormatting sqref="AK14">
    <cfRule type="cellIs" dxfId="28" priority="56072" stopIfTrue="1" operator="notEqual">
      <formula>"En cours"</formula>
    </cfRule>
  </conditionalFormatting>
  <conditionalFormatting sqref="AJ13">
    <cfRule type="cellIs" dxfId="27" priority="56073" stopIfTrue="1" operator="equal">
      <formula>"En cours"</formula>
    </cfRule>
  </conditionalFormatting>
  <conditionalFormatting sqref="AJ13">
    <cfRule type="cellIs" dxfId="26" priority="56074" stopIfTrue="1" operator="notEqual">
      <formula>"En cours"</formula>
    </cfRule>
  </conditionalFormatting>
  <conditionalFormatting sqref="AK13">
    <cfRule type="cellIs" dxfId="25" priority="56075" stopIfTrue="1" operator="equal">
      <formula>"En cours"</formula>
    </cfRule>
  </conditionalFormatting>
  <conditionalFormatting sqref="AK13">
    <cfRule type="cellIs" dxfId="24" priority="56076" stopIfTrue="1" operator="notEqual">
      <formula>"En cours"</formula>
    </cfRule>
  </conditionalFormatting>
  <conditionalFormatting sqref="AJ16">
    <cfRule type="cellIs" dxfId="23" priority="56077" stopIfTrue="1" operator="equal">
      <formula>"En cours"</formula>
    </cfRule>
  </conditionalFormatting>
  <conditionalFormatting sqref="AJ16">
    <cfRule type="cellIs" dxfId="22" priority="56078" stopIfTrue="1" operator="notEqual">
      <formula>"En cours"</formula>
    </cfRule>
  </conditionalFormatting>
  <conditionalFormatting sqref="AK16">
    <cfRule type="cellIs" dxfId="21" priority="56079" stopIfTrue="1" operator="equal">
      <formula>"En cours"</formula>
    </cfRule>
  </conditionalFormatting>
  <conditionalFormatting sqref="AK16">
    <cfRule type="cellIs" dxfId="20" priority="56080" stopIfTrue="1" operator="notEqual">
      <formula>"En cours"</formula>
    </cfRule>
  </conditionalFormatting>
  <conditionalFormatting sqref="AJ15">
    <cfRule type="cellIs" dxfId="19" priority="56081" stopIfTrue="1" operator="equal">
      <formula>"En cours"</formula>
    </cfRule>
  </conditionalFormatting>
  <conditionalFormatting sqref="AJ15">
    <cfRule type="cellIs" dxfId="18" priority="56082" stopIfTrue="1" operator="notEqual">
      <formula>"En cours"</formula>
    </cfRule>
  </conditionalFormatting>
  <conditionalFormatting sqref="AK15">
    <cfRule type="cellIs" dxfId="17" priority="56083" stopIfTrue="1" operator="equal">
      <formula>"En cours"</formula>
    </cfRule>
  </conditionalFormatting>
  <conditionalFormatting sqref="AK15">
    <cfRule type="cellIs" dxfId="16" priority="56084" stopIfTrue="1" operator="notEqual">
      <formula>"En cours"</formula>
    </cfRule>
  </conditionalFormatting>
  <conditionalFormatting sqref="AJ19">
    <cfRule type="cellIs" dxfId="15" priority="56085" stopIfTrue="1" operator="equal">
      <formula>"En cours"</formula>
    </cfRule>
  </conditionalFormatting>
  <conditionalFormatting sqref="AJ19">
    <cfRule type="cellIs" dxfId="14" priority="56086" stopIfTrue="1" operator="notEqual">
      <formula>"En cours"</formula>
    </cfRule>
  </conditionalFormatting>
  <conditionalFormatting sqref="AK19">
    <cfRule type="cellIs" dxfId="13" priority="56087" stopIfTrue="1" operator="equal">
      <formula>"En cours"</formula>
    </cfRule>
  </conditionalFormatting>
  <conditionalFormatting sqref="AK19">
    <cfRule type="cellIs" dxfId="12" priority="56088" stopIfTrue="1" operator="notEqual">
      <formula>"En cours"</formula>
    </cfRule>
  </conditionalFormatting>
  <conditionalFormatting sqref="AJ17">
    <cfRule type="cellIs" dxfId="11" priority="56089" stopIfTrue="1" operator="equal">
      <formula>"En cours"</formula>
    </cfRule>
  </conditionalFormatting>
  <conditionalFormatting sqref="AJ17">
    <cfRule type="cellIs" dxfId="10" priority="56090" stopIfTrue="1" operator="notEqual">
      <formula>"En cours"</formula>
    </cfRule>
  </conditionalFormatting>
  <conditionalFormatting sqref="AK17">
    <cfRule type="cellIs" dxfId="9" priority="56091" stopIfTrue="1" operator="equal">
      <formula>"En cours"</formula>
    </cfRule>
  </conditionalFormatting>
  <conditionalFormatting sqref="AK17">
    <cfRule type="cellIs" dxfId="8" priority="56092" stopIfTrue="1" operator="notEqual">
      <formula>"En cours"</formula>
    </cfRule>
  </conditionalFormatting>
  <conditionalFormatting sqref="AJ20">
    <cfRule type="cellIs" dxfId="7" priority="56093" stopIfTrue="1" operator="equal">
      <formula>"En cours"</formula>
    </cfRule>
  </conditionalFormatting>
  <conditionalFormatting sqref="AJ20">
    <cfRule type="cellIs" dxfId="6" priority="56094" stopIfTrue="1" operator="notEqual">
      <formula>"En cours"</formula>
    </cfRule>
  </conditionalFormatting>
  <conditionalFormatting sqref="AK20">
    <cfRule type="cellIs" dxfId="5" priority="56095" stopIfTrue="1" operator="equal">
      <formula>"En cours"</formula>
    </cfRule>
  </conditionalFormatting>
  <conditionalFormatting sqref="AK20">
    <cfRule type="cellIs" dxfId="4" priority="56096" stopIfTrue="1" operator="notEqual">
      <formula>"En cours"</formula>
    </cfRule>
  </conditionalFormatting>
  <conditionalFormatting sqref="AJ18">
    <cfRule type="cellIs" dxfId="3" priority="56097" stopIfTrue="1" operator="equal">
      <formula>"En cours"</formula>
    </cfRule>
  </conditionalFormatting>
  <conditionalFormatting sqref="AJ18">
    <cfRule type="cellIs" dxfId="2" priority="56098" stopIfTrue="1" operator="notEqual">
      <formula>"En cours"</formula>
    </cfRule>
  </conditionalFormatting>
  <conditionalFormatting sqref="AK18">
    <cfRule type="cellIs" dxfId="1" priority="56099" stopIfTrue="1" operator="equal">
      <formula>"En cours"</formula>
    </cfRule>
  </conditionalFormatting>
  <conditionalFormatting sqref="AK18">
    <cfRule type="cellIs" dxfId="0" priority="56100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V1" activePane="topRight" state="frozen"/>
      <selection pane="topRight" activeCell="AK18" sqref="AK18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17</v>
      </c>
      <c r="C2" s="75" t="s">
        <v>37</v>
      </c>
      <c r="E2" s="19"/>
      <c r="F2" s="182" t="s">
        <v>18</v>
      </c>
      <c r="G2" s="183"/>
      <c r="H2" s="183"/>
      <c r="I2" s="184"/>
      <c r="J2" s="185" t="s">
        <v>19</v>
      </c>
      <c r="K2" s="186"/>
      <c r="L2" s="186"/>
      <c r="M2" s="187"/>
      <c r="N2" s="188" t="s">
        <v>20</v>
      </c>
      <c r="O2" s="183"/>
      <c r="P2" s="183"/>
      <c r="Q2" s="184"/>
      <c r="R2" s="185" t="s">
        <v>21</v>
      </c>
      <c r="S2" s="186"/>
      <c r="T2" s="186"/>
      <c r="U2" s="187"/>
      <c r="V2" s="188" t="s">
        <v>22</v>
      </c>
      <c r="W2" s="183"/>
      <c r="X2" s="183"/>
      <c r="Y2" s="184"/>
      <c r="Z2" s="185" t="s">
        <v>23</v>
      </c>
      <c r="AA2" s="186"/>
      <c r="AB2" s="186"/>
      <c r="AC2" s="189"/>
      <c r="AD2" s="175" t="s">
        <v>24</v>
      </c>
      <c r="AE2" s="176"/>
      <c r="AF2" s="177" t="s">
        <v>17</v>
      </c>
      <c r="AG2" s="178"/>
      <c r="AH2" s="178"/>
      <c r="AI2" s="179"/>
      <c r="AJ2" s="180" t="s">
        <v>25</v>
      </c>
      <c r="AK2" s="181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52</v>
      </c>
      <c r="G3" s="89" t="s">
        <v>40</v>
      </c>
      <c r="H3" s="90" t="s">
        <v>61</v>
      </c>
      <c r="I3" s="91" t="s">
        <v>41</v>
      </c>
      <c r="J3" s="92" t="s">
        <v>53</v>
      </c>
      <c r="K3" s="89" t="s">
        <v>42</v>
      </c>
      <c r="L3" s="90" t="s">
        <v>62</v>
      </c>
      <c r="M3" s="91" t="s">
        <v>43</v>
      </c>
      <c r="N3" s="92" t="s">
        <v>54</v>
      </c>
      <c r="O3" s="89" t="s">
        <v>44</v>
      </c>
      <c r="P3" s="90" t="s">
        <v>63</v>
      </c>
      <c r="Q3" s="91" t="s">
        <v>45</v>
      </c>
      <c r="R3" s="92" t="s">
        <v>55</v>
      </c>
      <c r="S3" s="89" t="s">
        <v>46</v>
      </c>
      <c r="T3" s="90" t="s">
        <v>64</v>
      </c>
      <c r="U3" s="91" t="s">
        <v>47</v>
      </c>
      <c r="V3" s="92" t="s">
        <v>56</v>
      </c>
      <c r="W3" s="89" t="s">
        <v>48</v>
      </c>
      <c r="X3" s="90" t="s">
        <v>65</v>
      </c>
      <c r="Y3" s="91" t="s">
        <v>49</v>
      </c>
      <c r="Z3" s="92" t="s">
        <v>57</v>
      </c>
      <c r="AA3" s="89" t="s">
        <v>50</v>
      </c>
      <c r="AB3" s="90" t="s">
        <v>66</v>
      </c>
      <c r="AC3" s="93" t="s">
        <v>51</v>
      </c>
      <c r="AD3" s="94" t="s">
        <v>58</v>
      </c>
      <c r="AE3" s="95" t="s">
        <v>67</v>
      </c>
      <c r="AF3" s="88" t="s">
        <v>59</v>
      </c>
      <c r="AG3" s="89" t="s">
        <v>38</v>
      </c>
      <c r="AH3" s="90" t="s">
        <v>68</v>
      </c>
      <c r="AI3" s="96" t="s">
        <v>39</v>
      </c>
      <c r="AJ3" s="97" t="s">
        <v>60</v>
      </c>
      <c r="AK3" s="98" t="s">
        <v>69</v>
      </c>
    </row>
    <row r="4" spans="2:37" ht="21" x14ac:dyDescent="0.35">
      <c r="B4" s="146" t="s">
        <v>109</v>
      </c>
      <c r="C4" s="146" t="s">
        <v>98</v>
      </c>
      <c r="D4" s="146">
        <v>18.2</v>
      </c>
      <c r="E4" s="146">
        <v>2</v>
      </c>
      <c r="F4" s="146">
        <v>69</v>
      </c>
      <c r="G4" s="146">
        <v>1</v>
      </c>
      <c r="H4" s="146">
        <v>90</v>
      </c>
      <c r="I4" s="146">
        <v>1</v>
      </c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7">
        <f>IF(MIN(F4,J4,N4,R4,V4,Z4)&lt;&gt;0,MIN(F4,J4,N4,R4,V4,Z4),"")</f>
        <v>69</v>
      </c>
      <c r="AE4" s="147">
        <f>IF(MIN(H4,L4,P4,T4,X4,AB4)&lt;&gt;0,MIN(H4,L4,P4,T4,X4,AB4),"")</f>
        <v>90</v>
      </c>
      <c r="AF4" s="147"/>
      <c r="AG4" s="146"/>
      <c r="AH4" s="147"/>
      <c r="AI4" s="146"/>
      <c r="AJ4" s="145" t="str">
        <f>IF(AD4="","",IF(ISBLANK(AF4),"En cours",AD4+AF4))</f>
        <v>En cours</v>
      </c>
      <c r="AK4" s="145" t="str">
        <f>IF(AE4="","",IF(ISBLANK(AH4),"En cours",AE4+AH4))</f>
        <v>En cours</v>
      </c>
    </row>
    <row r="5" spans="2:37" ht="21" x14ac:dyDescent="0.35">
      <c r="B5" s="146" t="s">
        <v>107</v>
      </c>
      <c r="C5" s="146" t="s">
        <v>98</v>
      </c>
      <c r="D5" s="146">
        <v>8.1999999999999993</v>
      </c>
      <c r="E5" s="146">
        <v>1</v>
      </c>
      <c r="F5" s="146">
        <v>70</v>
      </c>
      <c r="G5" s="146">
        <v>2</v>
      </c>
      <c r="H5" s="146">
        <v>80</v>
      </c>
      <c r="I5" s="146">
        <v>1</v>
      </c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7">
        <f>IF(MIN(F5,J5,N5,R5,V5,Z5)&lt;&gt;0,MIN(F5,J5,N5,R5,V5,Z5),"")</f>
        <v>70</v>
      </c>
      <c r="AE5" s="147">
        <f>IF(MIN(H5,L5,P5,T5,X5,AB5)&lt;&gt;0,MIN(H5,L5,P5,T5,X5,AB5),"")</f>
        <v>80</v>
      </c>
      <c r="AF5" s="147"/>
      <c r="AG5" s="146"/>
      <c r="AH5" s="147"/>
      <c r="AI5" s="146"/>
      <c r="AJ5" s="145" t="str">
        <f>IF(AD5="","",IF(ISBLANK(AF5),"En cours",AD5+AF5))</f>
        <v>En cours</v>
      </c>
      <c r="AK5" s="145" t="str">
        <f>IF(AE5="","",IF(ISBLANK(AH5),"En cours",AE5+AH5))</f>
        <v>En cours</v>
      </c>
    </row>
    <row r="6" spans="2:37" ht="21" x14ac:dyDescent="0.35">
      <c r="B6" s="146" t="s">
        <v>108</v>
      </c>
      <c r="C6" s="146" t="s">
        <v>98</v>
      </c>
      <c r="D6" s="146">
        <v>13.7</v>
      </c>
      <c r="E6" s="146">
        <v>2</v>
      </c>
      <c r="F6" s="146">
        <v>71</v>
      </c>
      <c r="G6" s="146">
        <v>3</v>
      </c>
      <c r="H6" s="146">
        <v>87</v>
      </c>
      <c r="I6" s="146">
        <v>1</v>
      </c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7">
        <f>IF(MIN(F6,J6,N6,R6,V6,Z6)&lt;&gt;0,MIN(F6,J6,N6,R6,V6,Z6),"")</f>
        <v>71</v>
      </c>
      <c r="AE6" s="147">
        <f>IF(MIN(H6,L6,P6,T6,X6,AB6)&lt;&gt;0,MIN(H6,L6,P6,T6,X6,AB6),"")</f>
        <v>87</v>
      </c>
      <c r="AF6" s="147"/>
      <c r="AG6" s="146"/>
      <c r="AH6" s="147"/>
      <c r="AI6" s="146"/>
      <c r="AJ6" s="145" t="str">
        <f>IF(AD6="","",IF(ISBLANK(AF6),"En cours",AD6+AF6))</f>
        <v>En cours</v>
      </c>
      <c r="AK6" s="145" t="str">
        <f>IF(AE6="","",IF(ISBLANK(AH6),"En cours",AE6+AH6))</f>
        <v>En cours</v>
      </c>
    </row>
    <row r="7" spans="2:37" ht="21" x14ac:dyDescent="0.35">
      <c r="B7" s="146" t="s">
        <v>110</v>
      </c>
      <c r="C7" s="146" t="s">
        <v>98</v>
      </c>
      <c r="D7" s="146">
        <v>14.7</v>
      </c>
      <c r="E7" s="146">
        <v>2</v>
      </c>
      <c r="F7" s="146">
        <v>76</v>
      </c>
      <c r="G7" s="146">
        <v>4</v>
      </c>
      <c r="H7" s="146">
        <v>93</v>
      </c>
      <c r="I7" s="146">
        <v>1</v>
      </c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7">
        <f>IF(MIN(F7,J7,N7,R7,V7,Z7)&lt;&gt;0,MIN(F7,J7,N7,R7,V7,Z7),"")</f>
        <v>76</v>
      </c>
      <c r="AE7" s="147">
        <f>IF(MIN(H7,L7,P7,T7,X7,AB7)&lt;&gt;0,MIN(H7,L7,P7,T7,X7,AB7),"")</f>
        <v>93</v>
      </c>
      <c r="AF7" s="147"/>
      <c r="AG7" s="146"/>
      <c r="AH7" s="147"/>
      <c r="AI7" s="146"/>
      <c r="AJ7" s="145" t="str">
        <f>IF(AD7="","",IF(ISBLANK(AF7),"En cours",AD7+AF7))</f>
        <v>En cours</v>
      </c>
      <c r="AK7" s="145" t="str">
        <f>IF(AE7="","",IF(ISBLANK(AH7),"En cours",AE7+AH7))</f>
        <v>En cours</v>
      </c>
    </row>
    <row r="8" spans="2:37" ht="21" x14ac:dyDescent="0.35">
      <c r="B8" s="146" t="s">
        <v>111</v>
      </c>
      <c r="C8" s="146" t="s">
        <v>98</v>
      </c>
      <c r="D8" s="146">
        <v>14.3</v>
      </c>
      <c r="E8" s="146">
        <v>2</v>
      </c>
      <c r="F8" s="146">
        <v>80</v>
      </c>
      <c r="G8" s="146">
        <v>5</v>
      </c>
      <c r="H8" s="146">
        <v>96</v>
      </c>
      <c r="I8" s="146">
        <v>1</v>
      </c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7">
        <f>IF(MIN(F8,J8,N8,R8,V8,Z8)&lt;&gt;0,MIN(F8,J8,N8,R8,V8,Z8),"")</f>
        <v>80</v>
      </c>
      <c r="AE8" s="147">
        <f>IF(MIN(H8,L8,P8,T8,X8,AB8)&lt;&gt;0,MIN(H8,L8,P8,T8,X8,AB8),"")</f>
        <v>96</v>
      </c>
      <c r="AF8" s="147"/>
      <c r="AG8" s="146"/>
      <c r="AH8" s="147"/>
      <c r="AI8" s="146"/>
      <c r="AJ8" s="145" t="str">
        <f>IF(AD8="","",IF(ISBLANK(AF8),"En cours",AD8+AF8))</f>
        <v>En cours</v>
      </c>
      <c r="AK8" s="145" t="str">
        <f>IF(AE8="","",IF(ISBLANK(AH8),"En cours",AE8+AH8))</f>
        <v>En cours</v>
      </c>
    </row>
    <row r="9" spans="2:37" ht="21" x14ac:dyDescent="0.35">
      <c r="B9" s="146" t="s">
        <v>112</v>
      </c>
      <c r="C9" s="146" t="s">
        <v>113</v>
      </c>
      <c r="D9" s="146">
        <v>13.3</v>
      </c>
      <c r="E9" s="146">
        <v>2</v>
      </c>
      <c r="F9" s="146">
        <v>83</v>
      </c>
      <c r="G9" s="146">
        <v>6</v>
      </c>
      <c r="H9" s="146">
        <v>98</v>
      </c>
      <c r="I9" s="146">
        <v>1</v>
      </c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7">
        <f>IF(MIN(F9,J9,N9,R9,V9,Z9)&lt;&gt;0,MIN(F9,J9,N9,R9,V9,Z9),"")</f>
        <v>83</v>
      </c>
      <c r="AE9" s="147">
        <f>IF(MIN(H9,L9,P9,T9,X9,AB9)&lt;&gt;0,MIN(H9,L9,P9,T9,X9,AB9),"")</f>
        <v>98</v>
      </c>
      <c r="AF9" s="147"/>
      <c r="AG9" s="146"/>
      <c r="AH9" s="147"/>
      <c r="AI9" s="146"/>
      <c r="AJ9" s="145" t="str">
        <f>IF(AD9="","",IF(ISBLANK(AF9),"En cours",AD9+AF9))</f>
        <v>En cours</v>
      </c>
      <c r="AK9" s="145" t="str">
        <f>IF(AE9="","",IF(ISBLANK(AH9),"En cours",AE9+AH9))</f>
        <v>En cours</v>
      </c>
    </row>
    <row r="10" spans="2:37" ht="21" x14ac:dyDescent="0.35">
      <c r="B10" s="146" t="s">
        <v>114</v>
      </c>
      <c r="C10" s="146" t="s">
        <v>98</v>
      </c>
      <c r="D10" s="146">
        <v>15.7</v>
      </c>
      <c r="E10" s="146">
        <v>2</v>
      </c>
      <c r="F10" s="146">
        <v>86</v>
      </c>
      <c r="G10" s="146">
        <v>7</v>
      </c>
      <c r="H10" s="146">
        <v>104</v>
      </c>
      <c r="I10" s="146">
        <v>1</v>
      </c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7">
        <f>IF(MIN(F10,J10,N10,R10,V10,Z10)&lt;&gt;0,MIN(F10,J10,N10,R10,V10,Z10),"")</f>
        <v>86</v>
      </c>
      <c r="AE10" s="147">
        <f>IF(MIN(H10,L10,P10,T10,X10,AB10)&lt;&gt;0,MIN(H10,L10,P10,T10,X10,AB10),"")</f>
        <v>104</v>
      </c>
      <c r="AF10" s="147"/>
      <c r="AG10" s="146"/>
      <c r="AH10" s="147"/>
      <c r="AI10" s="146"/>
      <c r="AJ10" s="145" t="str">
        <f>IF(AD10="","",IF(ISBLANK(AF10),"En cours",AD10+AF10))</f>
        <v>En cours</v>
      </c>
      <c r="AK10" s="145" t="str">
        <f>IF(AE10="","",IF(ISBLANK(AH10),"En cours",AE10+AH10))</f>
        <v>En cours</v>
      </c>
    </row>
    <row r="11" spans="2:37" ht="21" x14ac:dyDescent="0.35">
      <c r="B11" s="146" t="s">
        <v>115</v>
      </c>
      <c r="C11" s="146" t="s">
        <v>98</v>
      </c>
      <c r="D11" s="146">
        <v>34.799999999999997</v>
      </c>
      <c r="E11" s="146">
        <v>4</v>
      </c>
      <c r="F11" s="146">
        <v>56</v>
      </c>
      <c r="G11" s="146">
        <v>1</v>
      </c>
      <c r="H11" s="146">
        <v>88</v>
      </c>
      <c r="I11" s="146">
        <v>1</v>
      </c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7">
        <f>IF(MIN(F11,J11,N11,R11,V11,Z11)&lt;&gt;0,MIN(F11,J11,N11,R11,V11,Z11),"")</f>
        <v>56</v>
      </c>
      <c r="AE11" s="147">
        <f>IF(MIN(H11,L11,P11,T11,X11,AB11)&lt;&gt;0,MIN(H11,L11,P11,T11,X11,AB11),"")</f>
        <v>88</v>
      </c>
      <c r="AF11" s="147"/>
      <c r="AG11" s="146"/>
      <c r="AH11" s="147"/>
      <c r="AI11" s="146"/>
      <c r="AJ11" s="145" t="str">
        <f>IF(AD11="","",IF(ISBLANK(AF11),"En cours",AD11+AF11))</f>
        <v>En cours</v>
      </c>
      <c r="AK11" s="145" t="str">
        <f>IF(AE11="","",IF(ISBLANK(AH11),"En cours",AE11+AH11))</f>
        <v>En cours</v>
      </c>
    </row>
    <row r="12" spans="2:37" ht="21" x14ac:dyDescent="0.35">
      <c r="B12" s="146" t="s">
        <v>116</v>
      </c>
      <c r="C12" s="146" t="s">
        <v>98</v>
      </c>
      <c r="D12" s="146">
        <v>29</v>
      </c>
      <c r="E12" s="146">
        <v>4</v>
      </c>
      <c r="F12" s="146">
        <v>64</v>
      </c>
      <c r="G12" s="146">
        <v>2</v>
      </c>
      <c r="H12" s="146">
        <v>90</v>
      </c>
      <c r="I12" s="146">
        <v>1</v>
      </c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7">
        <f>IF(MIN(F12,J12,N12,R12,V12,Z12)&lt;&gt;0,MIN(F12,J12,N12,R12,V12,Z12),"")</f>
        <v>64</v>
      </c>
      <c r="AE12" s="147">
        <f>IF(MIN(H12,L12,P12,T12,X12,AB12)&lt;&gt;0,MIN(H12,L12,P12,T12,X12,AB12),"")</f>
        <v>90</v>
      </c>
      <c r="AF12" s="147"/>
      <c r="AG12" s="146"/>
      <c r="AH12" s="147"/>
      <c r="AI12" s="146"/>
      <c r="AJ12" s="145" t="str">
        <f>IF(AD12="","",IF(ISBLANK(AF12),"En cours",AD12+AF12))</f>
        <v>En cours</v>
      </c>
      <c r="AK12" s="145" t="str">
        <f>IF(AE12="","",IF(ISBLANK(AH12),"En cours",AE12+AH12))</f>
        <v>En cours</v>
      </c>
    </row>
    <row r="13" spans="2:37" ht="21" x14ac:dyDescent="0.35">
      <c r="B13" s="146" t="s">
        <v>118</v>
      </c>
      <c r="C13" s="146" t="s">
        <v>98</v>
      </c>
      <c r="D13" s="146">
        <v>26.9</v>
      </c>
      <c r="E13" s="146">
        <v>4</v>
      </c>
      <c r="F13" s="146">
        <v>73</v>
      </c>
      <c r="G13" s="146">
        <v>3</v>
      </c>
      <c r="H13" s="146">
        <v>96</v>
      </c>
      <c r="I13" s="146">
        <v>1</v>
      </c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7">
        <f>IF(MIN(F13,J13,N13,R13,V13,Z13)&lt;&gt;0,MIN(F13,J13,N13,R13,V13,Z13),"")</f>
        <v>73</v>
      </c>
      <c r="AE13" s="147">
        <f>IF(MIN(H13,L13,P13,T13,X13,AB13)&lt;&gt;0,MIN(H13,L13,P13,T13,X13,AB13),"")</f>
        <v>96</v>
      </c>
      <c r="AF13" s="147"/>
      <c r="AG13" s="146"/>
      <c r="AH13" s="147"/>
      <c r="AI13" s="146"/>
      <c r="AJ13" s="145" t="str">
        <f>IF(AD13="","",IF(ISBLANK(AF13),"En cours",AD13+AF13))</f>
        <v>En cours</v>
      </c>
      <c r="AK13" s="145" t="str">
        <f>IF(AE13="","",IF(ISBLANK(AH13),"En cours",AE13+AH13))</f>
        <v>En cours</v>
      </c>
    </row>
    <row r="14" spans="2:37" ht="21" x14ac:dyDescent="0.35">
      <c r="B14" s="146" t="s">
        <v>117</v>
      </c>
      <c r="C14" s="146" t="s">
        <v>98</v>
      </c>
      <c r="D14" s="146">
        <v>20.399999999999999</v>
      </c>
      <c r="E14" s="146">
        <v>3</v>
      </c>
      <c r="F14" s="146">
        <v>74</v>
      </c>
      <c r="G14" s="146">
        <v>4</v>
      </c>
      <c r="H14" s="146">
        <v>93</v>
      </c>
      <c r="I14" s="146">
        <v>1</v>
      </c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7">
        <f>IF(MIN(F14,J14,N14,R14,V14,Z14)&lt;&gt;0,MIN(F14,J14,N14,R14,V14,Z14),"")</f>
        <v>74</v>
      </c>
      <c r="AE14" s="147">
        <f>IF(MIN(H14,L14,P14,T14,X14,AB14)&lt;&gt;0,MIN(H14,L14,P14,T14,X14,AB14),"")</f>
        <v>93</v>
      </c>
      <c r="AF14" s="147"/>
      <c r="AG14" s="146"/>
      <c r="AH14" s="147"/>
      <c r="AI14" s="146"/>
      <c r="AJ14" s="145" t="str">
        <f>IF(AD14="","",IF(ISBLANK(AF14),"En cours",AD14+AF14))</f>
        <v>En cours</v>
      </c>
      <c r="AK14" s="145" t="str">
        <f>IF(AE14="","",IF(ISBLANK(AH14),"En cours",AE14+AH14))</f>
        <v>En cours</v>
      </c>
    </row>
    <row r="15" spans="2:37" ht="21" x14ac:dyDescent="0.35">
      <c r="B15" s="146" t="s">
        <v>120</v>
      </c>
      <c r="C15" s="146" t="s">
        <v>98</v>
      </c>
      <c r="D15" s="146">
        <v>28.8</v>
      </c>
      <c r="E15" s="146">
        <v>4</v>
      </c>
      <c r="F15" s="146">
        <v>75</v>
      </c>
      <c r="G15" s="146">
        <v>5</v>
      </c>
      <c r="H15" s="146">
        <v>100</v>
      </c>
      <c r="I15" s="146">
        <v>1</v>
      </c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7">
        <f>IF(MIN(F15,J15,N15,R15,V15,Z15)&lt;&gt;0,MIN(F15,J15,N15,R15,V15,Z15),"")</f>
        <v>75</v>
      </c>
      <c r="AE15" s="147">
        <f>IF(MIN(H15,L15,P15,T15,X15,AB15)&lt;&gt;0,MIN(H15,L15,P15,T15,X15,AB15),"")</f>
        <v>100</v>
      </c>
      <c r="AF15" s="147"/>
      <c r="AG15" s="146"/>
      <c r="AH15" s="147"/>
      <c r="AI15" s="146"/>
      <c r="AJ15" s="145" t="str">
        <f>IF(AD15="","",IF(ISBLANK(AF15),"En cours",AD15+AF15))</f>
        <v>En cours</v>
      </c>
      <c r="AK15" s="145" t="str">
        <f>IF(AE15="","",IF(ISBLANK(AH15),"En cours",AE15+AH15))</f>
        <v>En cours</v>
      </c>
    </row>
    <row r="16" spans="2:37" ht="21" x14ac:dyDescent="0.35">
      <c r="B16" s="146" t="s">
        <v>119</v>
      </c>
      <c r="C16" s="146" t="s">
        <v>98</v>
      </c>
      <c r="D16" s="146">
        <v>22.1</v>
      </c>
      <c r="E16" s="146">
        <v>3</v>
      </c>
      <c r="F16" s="146">
        <v>76</v>
      </c>
      <c r="G16" s="146">
        <v>6</v>
      </c>
      <c r="H16" s="146">
        <v>97</v>
      </c>
      <c r="I16" s="146">
        <v>1</v>
      </c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7">
        <f>IF(MIN(F16,J16,N16,R16,V16,Z16)&lt;&gt;0,MIN(F16,J16,N16,R16,V16,Z16),"")</f>
        <v>76</v>
      </c>
      <c r="AE16" s="147">
        <f>IF(MIN(H16,L16,P16,T16,X16,AB16)&lt;&gt;0,MIN(H16,L16,P16,T16,X16,AB16),"")</f>
        <v>97</v>
      </c>
      <c r="AF16" s="147"/>
      <c r="AG16" s="146"/>
      <c r="AH16" s="147"/>
      <c r="AI16" s="146"/>
      <c r="AJ16" s="145" t="str">
        <f>IF(AD16="","",IF(ISBLANK(AF16),"En cours",AD16+AF16))</f>
        <v>En cours</v>
      </c>
      <c r="AK16" s="145" t="str">
        <f>IF(AE16="","",IF(ISBLANK(AH16),"En cours",AE16+AH16))</f>
        <v>En cours</v>
      </c>
    </row>
    <row r="17" spans="2:37" ht="21" x14ac:dyDescent="0.35">
      <c r="B17" s="146" t="s">
        <v>122</v>
      </c>
      <c r="C17" s="146" t="s">
        <v>98</v>
      </c>
      <c r="D17" s="146">
        <v>23.9</v>
      </c>
      <c r="E17" s="146">
        <v>3</v>
      </c>
      <c r="F17" s="146">
        <v>77</v>
      </c>
      <c r="G17" s="146">
        <v>7</v>
      </c>
      <c r="H17" s="146">
        <v>100</v>
      </c>
      <c r="I17" s="146">
        <v>1</v>
      </c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7">
        <f>IF(MIN(F17,J17,N17,R17,V17,Z17)&lt;&gt;0,MIN(F17,J17,N17,R17,V17,Z17),"")</f>
        <v>77</v>
      </c>
      <c r="AE17" s="147">
        <f>IF(MIN(H17,L17,P17,T17,X17,AB17)&lt;&gt;0,MIN(H17,L17,P17,T17,X17,AB17),"")</f>
        <v>100</v>
      </c>
      <c r="AF17" s="147"/>
      <c r="AG17" s="146"/>
      <c r="AH17" s="147"/>
      <c r="AI17" s="146"/>
      <c r="AJ17" s="145" t="str">
        <f>IF(AD17="","",IF(ISBLANK(AF17),"En cours",AD17+AF17))</f>
        <v>En cours</v>
      </c>
      <c r="AK17" s="145" t="str">
        <f>IF(AE17="","",IF(ISBLANK(AH17),"En cours",AE17+AH17))</f>
        <v>En cours</v>
      </c>
    </row>
    <row r="18" spans="2:37" ht="21" x14ac:dyDescent="0.35">
      <c r="B18" s="146" t="s">
        <v>124</v>
      </c>
      <c r="C18" s="146" t="s">
        <v>98</v>
      </c>
      <c r="D18" s="146">
        <v>33</v>
      </c>
      <c r="E18" s="146">
        <v>4</v>
      </c>
      <c r="F18" s="146">
        <v>80</v>
      </c>
      <c r="G18" s="146">
        <v>8</v>
      </c>
      <c r="H18" s="146">
        <v>110</v>
      </c>
      <c r="I18" s="146">
        <v>1</v>
      </c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7">
        <f>IF(MIN(F18,J18,N18,R18,V18,Z18)&lt;&gt;0,MIN(F18,J18,N18,R18,V18,Z18),"")</f>
        <v>80</v>
      </c>
      <c r="AE18" s="147">
        <f>IF(MIN(H18,L18,P18,T18,X18,AB18)&lt;&gt;0,MIN(H18,L18,P18,T18,X18,AB18),"")</f>
        <v>110</v>
      </c>
      <c r="AF18" s="147"/>
      <c r="AG18" s="146"/>
      <c r="AH18" s="147"/>
      <c r="AI18" s="146"/>
      <c r="AJ18" s="145" t="str">
        <f>IF(AD18="","",IF(ISBLANK(AF18),"En cours",AD18+AF18))</f>
        <v>En cours</v>
      </c>
      <c r="AK18" s="145" t="str">
        <f>IF(AE18="","",IF(ISBLANK(AH18),"En cours",AE18+AH18))</f>
        <v>En cours</v>
      </c>
    </row>
    <row r="19" spans="2:37" ht="21" x14ac:dyDescent="0.35">
      <c r="B19" s="146" t="s">
        <v>121</v>
      </c>
      <c r="C19" s="146" t="s">
        <v>98</v>
      </c>
      <c r="D19" s="146">
        <v>20.2</v>
      </c>
      <c r="E19" s="146">
        <v>3</v>
      </c>
      <c r="F19" s="146">
        <v>81</v>
      </c>
      <c r="G19" s="146">
        <v>9</v>
      </c>
      <c r="H19" s="146">
        <v>100</v>
      </c>
      <c r="I19" s="146">
        <v>1</v>
      </c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7">
        <f>IF(MIN(F19,J19,N19,R19,V19,Z19)&lt;&gt;0,MIN(F19,J19,N19,R19,V19,Z19),"")</f>
        <v>81</v>
      </c>
      <c r="AE19" s="147">
        <f>IF(MIN(H19,L19,P19,T19,X19,AB19)&lt;&gt;0,MIN(H19,L19,P19,T19,X19,AB19),"")</f>
        <v>100</v>
      </c>
      <c r="AF19" s="147"/>
      <c r="AG19" s="146"/>
      <c r="AH19" s="147"/>
      <c r="AI19" s="146"/>
      <c r="AJ19" s="145" t="str">
        <f>IF(AD19="","",IF(ISBLANK(AF19),"En cours",AD19+AF19))</f>
        <v>En cours</v>
      </c>
      <c r="AK19" s="145" t="str">
        <f>IF(AE19="","",IF(ISBLANK(AH19),"En cours",AE19+AH19))</f>
        <v>En cours</v>
      </c>
    </row>
    <row r="20" spans="2:37" ht="21" x14ac:dyDescent="0.35">
      <c r="B20" s="146" t="s">
        <v>123</v>
      </c>
      <c r="C20" s="146" t="s">
        <v>98</v>
      </c>
      <c r="D20" s="146">
        <v>27.2</v>
      </c>
      <c r="E20" s="146">
        <v>4</v>
      </c>
      <c r="F20" s="146">
        <v>83</v>
      </c>
      <c r="G20" s="146">
        <v>10</v>
      </c>
      <c r="H20" s="146">
        <v>107</v>
      </c>
      <c r="I20" s="146">
        <v>1</v>
      </c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7">
        <f>IF(MIN(F20,J20,N20,R20,V20,Z20)&lt;&gt;0,MIN(F20,J20,N20,R20,V20,Z20),"")</f>
        <v>83</v>
      </c>
      <c r="AE20" s="147">
        <f>IF(MIN(H20,L20,P20,T20,X20,AB20)&lt;&gt;0,MIN(H20,L20,P20,T20,X20,AB20),"")</f>
        <v>107</v>
      </c>
      <c r="AF20" s="147"/>
      <c r="AG20" s="146"/>
      <c r="AH20" s="147"/>
      <c r="AI20" s="146"/>
      <c r="AJ20" s="145" t="str">
        <f>IF(AD20="","",IF(ISBLANK(AF20),"En cours",AD20+AF20))</f>
        <v>En cours</v>
      </c>
      <c r="AK20" s="145" t="str">
        <f>IF(AE20="","",IF(ISBLANK(AH20),"En cours",AE20+AH20))</f>
        <v>En cours</v>
      </c>
    </row>
    <row r="21" spans="2:37" ht="21" x14ac:dyDescent="0.35">
      <c r="B21" s="146"/>
      <c r="C21" s="146"/>
      <c r="D21" s="146"/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7" t="str">
        <f>IF(MIN(F21,J21,N21,R21,V21,Z21)&lt;&gt;0,MIN(F21,J21,N21,R21,V21,Z21),"")</f>
        <v/>
      </c>
      <c r="AE21" s="147" t="str">
        <f>IF(MIN(H21,L21,P21,T21,X21,AB21)&lt;&gt;0,MIN(H21,L21,P21,T21,X21,AB21),"")</f>
        <v/>
      </c>
      <c r="AF21" s="147"/>
      <c r="AG21" s="146"/>
      <c r="AH21" s="147"/>
      <c r="AI21" s="146"/>
      <c r="AJ21" s="145" t="str">
        <f>IF(AD21="","",IF(ISBLANK(AF21),"En cours",AD21+AF21))</f>
        <v/>
      </c>
      <c r="AK21" s="145" t="str">
        <f>IF(AE21="","",IF(ISBLANK(AH21),"En cours",AE21+AH21))</f>
        <v/>
      </c>
    </row>
    <row r="22" spans="2:37" ht="21" x14ac:dyDescent="0.35">
      <c r="B22" s="146"/>
      <c r="C22" s="146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7" t="str">
        <f>IF(MIN(F22,J22,N22,R22,V22,Z22)&lt;&gt;0,MIN(F22,J22,N22,R22,V22,Z22),"")</f>
        <v/>
      </c>
      <c r="AE22" s="147" t="str">
        <f>IF(MIN(H22,L22,P22,T22,X22,AB22)&lt;&gt;0,MIN(H22,L22,P22,T22,X22,AB22),"")</f>
        <v/>
      </c>
      <c r="AF22" s="147"/>
      <c r="AG22" s="146"/>
      <c r="AH22" s="147"/>
      <c r="AI22" s="146"/>
      <c r="AJ22" s="145" t="str">
        <f>IF(AD22="","",IF(ISBLANK(AF22),"En cours",AD22+AF22))</f>
        <v/>
      </c>
      <c r="AK22" s="145" t="str">
        <f>IF(AE22="","",IF(ISBLANK(AH22),"En cours",AE22+AH22))</f>
        <v/>
      </c>
    </row>
    <row r="23" spans="2:37" ht="21" x14ac:dyDescent="0.35">
      <c r="B23" s="146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7" t="str">
        <f t="shared" ref="AD9:AD67" si="0">IF(MIN(F23,J23,N23,R23,V23,Z23)&lt;&gt;0,MIN(F23,J23,N23,R23,V23,Z23),"")</f>
        <v/>
      </c>
      <c r="AE23" s="147" t="str">
        <f t="shared" ref="AE9:AE67" si="1">IF(MIN(H23,L23,P23,T23,X23,AB23)&lt;&gt;0,MIN(H23,L23,P23,T23,X23,AB23),"")</f>
        <v/>
      </c>
      <c r="AF23" s="147"/>
      <c r="AG23" s="146"/>
      <c r="AH23" s="147"/>
      <c r="AI23" s="146"/>
      <c r="AJ23" s="145" t="str">
        <f t="shared" ref="AJ9:AJ67" si="2">IF(AD23="","",IF(ISBLANK(AF23),"En cours",AD23+AF23))</f>
        <v/>
      </c>
      <c r="AK23" s="145" t="str">
        <f t="shared" ref="AK9:AK67" si="3">IF(AE23="","",IF(ISBLANK(AH23),"En cours",AE23+AH23))</f>
        <v/>
      </c>
    </row>
    <row r="24" spans="2:37" ht="21" x14ac:dyDescent="0.35">
      <c r="B24" s="146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7" t="str">
        <f t="shared" si="0"/>
        <v/>
      </c>
      <c r="AE24" s="147" t="str">
        <f t="shared" si="1"/>
        <v/>
      </c>
      <c r="AF24" s="147"/>
      <c r="AG24" s="146"/>
      <c r="AH24" s="147"/>
      <c r="AI24" s="146"/>
      <c r="AJ24" s="145" t="str">
        <f t="shared" si="2"/>
        <v/>
      </c>
      <c r="AK24" s="145" t="str">
        <f t="shared" si="3"/>
        <v/>
      </c>
    </row>
    <row r="25" spans="2:37" ht="21" x14ac:dyDescent="0.35">
      <c r="B25" s="146"/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7" t="str">
        <f t="shared" si="0"/>
        <v/>
      </c>
      <c r="AE25" s="147" t="str">
        <f t="shared" si="1"/>
        <v/>
      </c>
      <c r="AF25" s="147"/>
      <c r="AG25" s="146"/>
      <c r="AH25" s="147"/>
      <c r="AI25" s="146"/>
      <c r="AJ25" s="145" t="str">
        <f t="shared" si="2"/>
        <v/>
      </c>
      <c r="AK25" s="145" t="str">
        <f t="shared" si="3"/>
        <v/>
      </c>
    </row>
    <row r="26" spans="2:37" ht="21" x14ac:dyDescent="0.35">
      <c r="B26" s="146"/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7" t="str">
        <f t="shared" si="0"/>
        <v/>
      </c>
      <c r="AE26" s="147" t="str">
        <f t="shared" si="1"/>
        <v/>
      </c>
      <c r="AF26" s="147"/>
      <c r="AG26" s="146"/>
      <c r="AH26" s="147"/>
      <c r="AI26" s="146"/>
      <c r="AJ26" s="145" t="str">
        <f t="shared" si="2"/>
        <v/>
      </c>
      <c r="AK26" s="145" t="str">
        <f t="shared" si="3"/>
        <v/>
      </c>
    </row>
    <row r="27" spans="2:37" ht="21" x14ac:dyDescent="0.35">
      <c r="B27" s="129"/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30" t="str">
        <f t="shared" si="0"/>
        <v/>
      </c>
      <c r="AE27" s="130" t="str">
        <f t="shared" si="1"/>
        <v/>
      </c>
      <c r="AF27" s="130"/>
      <c r="AG27" s="129"/>
      <c r="AH27" s="130"/>
      <c r="AI27" s="129"/>
      <c r="AJ27" s="128" t="str">
        <f t="shared" si="2"/>
        <v/>
      </c>
      <c r="AK27" s="128" t="str">
        <f t="shared" si="3"/>
        <v/>
      </c>
    </row>
    <row r="28" spans="2:37" ht="21" x14ac:dyDescent="0.35">
      <c r="B28" s="129"/>
      <c r="C28" s="129"/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30" t="str">
        <f t="shared" si="0"/>
        <v/>
      </c>
      <c r="AE28" s="130" t="str">
        <f t="shared" si="1"/>
        <v/>
      </c>
      <c r="AF28" s="130"/>
      <c r="AG28" s="129"/>
      <c r="AH28" s="130"/>
      <c r="AI28" s="129"/>
      <c r="AJ28" s="128" t="str">
        <f t="shared" si="2"/>
        <v/>
      </c>
      <c r="AK28" s="128" t="str">
        <f t="shared" si="3"/>
        <v/>
      </c>
    </row>
    <row r="29" spans="2:37" ht="21" x14ac:dyDescent="0.35">
      <c r="B29" s="129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30" t="str">
        <f t="shared" si="0"/>
        <v/>
      </c>
      <c r="AE29" s="130" t="str">
        <f t="shared" si="1"/>
        <v/>
      </c>
      <c r="AF29" s="130"/>
      <c r="AG29" s="129"/>
      <c r="AH29" s="130"/>
      <c r="AI29" s="129"/>
      <c r="AJ29" s="128" t="str">
        <f t="shared" si="2"/>
        <v/>
      </c>
      <c r="AK29" s="128" t="str">
        <f t="shared" si="3"/>
        <v/>
      </c>
    </row>
    <row r="30" spans="2:37" ht="21" x14ac:dyDescent="0.35">
      <c r="B30" s="129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30" t="str">
        <f t="shared" si="0"/>
        <v/>
      </c>
      <c r="AE30" s="130" t="str">
        <f t="shared" si="1"/>
        <v/>
      </c>
      <c r="AF30" s="130"/>
      <c r="AG30" s="129"/>
      <c r="AH30" s="130"/>
      <c r="AI30" s="129"/>
      <c r="AJ30" s="128" t="str">
        <f t="shared" si="2"/>
        <v/>
      </c>
      <c r="AK30" s="128" t="str">
        <f t="shared" si="3"/>
        <v/>
      </c>
    </row>
    <row r="31" spans="2:37" ht="21" x14ac:dyDescent="0.35">
      <c r="B31" s="129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30" t="str">
        <f t="shared" si="0"/>
        <v/>
      </c>
      <c r="AE31" s="130" t="str">
        <f t="shared" si="1"/>
        <v/>
      </c>
      <c r="AF31" s="130"/>
      <c r="AG31" s="129"/>
      <c r="AH31" s="130"/>
      <c r="AI31" s="129"/>
      <c r="AJ31" s="128" t="str">
        <f t="shared" si="2"/>
        <v/>
      </c>
      <c r="AK31" s="128" t="str">
        <f t="shared" si="3"/>
        <v/>
      </c>
    </row>
    <row r="32" spans="2:37" ht="21" x14ac:dyDescent="0.35">
      <c r="B32" s="129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30" t="str">
        <f t="shared" si="0"/>
        <v/>
      </c>
      <c r="AE32" s="130" t="str">
        <f t="shared" si="1"/>
        <v/>
      </c>
      <c r="AF32" s="130"/>
      <c r="AG32" s="129"/>
      <c r="AH32" s="130"/>
      <c r="AI32" s="129"/>
      <c r="AJ32" s="128" t="str">
        <f t="shared" si="2"/>
        <v/>
      </c>
      <c r="AK32" s="128" t="str">
        <f t="shared" si="3"/>
        <v/>
      </c>
    </row>
    <row r="33" spans="2:37" ht="21" x14ac:dyDescent="0.35">
      <c r="B33" s="132"/>
      <c r="C33" s="132"/>
      <c r="D33" s="132"/>
      <c r="E33" s="132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2"/>
      <c r="W33" s="132"/>
      <c r="X33" s="132"/>
      <c r="Y33" s="132"/>
      <c r="Z33" s="132"/>
      <c r="AA33" s="132"/>
      <c r="AB33" s="132"/>
      <c r="AC33" s="132"/>
      <c r="AD33" s="133" t="str">
        <f t="shared" si="0"/>
        <v/>
      </c>
      <c r="AE33" s="133" t="str">
        <f t="shared" si="1"/>
        <v/>
      </c>
      <c r="AF33" s="133"/>
      <c r="AG33" s="132"/>
      <c r="AH33" s="133"/>
      <c r="AI33" s="132"/>
      <c r="AJ33" s="131" t="str">
        <f t="shared" si="2"/>
        <v/>
      </c>
      <c r="AK33" s="131" t="str">
        <f t="shared" si="3"/>
        <v/>
      </c>
    </row>
    <row r="34" spans="2:37" ht="21" x14ac:dyDescent="0.35"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3" t="str">
        <f t="shared" si="0"/>
        <v/>
      </c>
      <c r="AE34" s="133" t="str">
        <f t="shared" si="1"/>
        <v/>
      </c>
      <c r="AF34" s="133"/>
      <c r="AG34" s="132"/>
      <c r="AH34" s="133"/>
      <c r="AI34" s="132"/>
      <c r="AJ34" s="131" t="str">
        <f t="shared" si="2"/>
        <v/>
      </c>
      <c r="AK34" s="131" t="str">
        <f t="shared" si="3"/>
        <v/>
      </c>
    </row>
    <row r="35" spans="2:37" ht="21" x14ac:dyDescent="0.35">
      <c r="B35" s="139"/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39"/>
      <c r="AC35" s="139"/>
      <c r="AD35" s="140" t="str">
        <f t="shared" si="0"/>
        <v/>
      </c>
      <c r="AE35" s="140" t="str">
        <f t="shared" si="1"/>
        <v/>
      </c>
      <c r="AF35" s="140"/>
      <c r="AG35" s="139"/>
      <c r="AH35" s="140"/>
      <c r="AI35" s="139"/>
      <c r="AJ35" s="138" t="str">
        <f t="shared" si="2"/>
        <v/>
      </c>
      <c r="AK35" s="138" t="str">
        <f t="shared" si="3"/>
        <v/>
      </c>
    </row>
    <row r="36" spans="2:37" ht="21" x14ac:dyDescent="0.35">
      <c r="B36" s="139"/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39"/>
      <c r="AC36" s="139"/>
      <c r="AD36" s="140" t="str">
        <f t="shared" si="0"/>
        <v/>
      </c>
      <c r="AE36" s="140" t="str">
        <f t="shared" si="1"/>
        <v/>
      </c>
      <c r="AF36" s="140"/>
      <c r="AG36" s="139"/>
      <c r="AH36" s="140"/>
      <c r="AI36" s="139"/>
      <c r="AJ36" s="138" t="str">
        <f t="shared" si="2"/>
        <v/>
      </c>
      <c r="AK36" s="138" t="str">
        <f t="shared" si="3"/>
        <v/>
      </c>
    </row>
    <row r="37" spans="2:37" ht="21" x14ac:dyDescent="0.35">
      <c r="B37" s="99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1" t="str">
        <f t="shared" si="0"/>
        <v/>
      </c>
      <c r="AE37" s="101" t="str">
        <f t="shared" si="1"/>
        <v/>
      </c>
      <c r="AF37" s="101"/>
      <c r="AG37" s="100"/>
      <c r="AH37" s="101"/>
      <c r="AI37" s="100"/>
      <c r="AJ37" s="102" t="str">
        <f t="shared" si="2"/>
        <v/>
      </c>
      <c r="AK37" s="103" t="str">
        <f t="shared" si="3"/>
        <v/>
      </c>
    </row>
    <row r="38" spans="2:37" ht="21" x14ac:dyDescent="0.3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1" t="str">
        <f t="shared" si="0"/>
        <v/>
      </c>
      <c r="AE38" s="101" t="str">
        <f t="shared" si="1"/>
        <v/>
      </c>
      <c r="AF38" s="101"/>
      <c r="AG38" s="100"/>
      <c r="AH38" s="101"/>
      <c r="AI38" s="100"/>
      <c r="AJ38" s="102" t="str">
        <f t="shared" si="2"/>
        <v/>
      </c>
      <c r="AK38" s="103" t="str">
        <f t="shared" si="3"/>
        <v/>
      </c>
    </row>
    <row r="39" spans="2:37" ht="21" x14ac:dyDescent="0.35">
      <c r="B39" s="99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1" t="str">
        <f t="shared" si="0"/>
        <v/>
      </c>
      <c r="AE39" s="101" t="str">
        <f t="shared" si="1"/>
        <v/>
      </c>
      <c r="AF39" s="101"/>
      <c r="AG39" s="100"/>
      <c r="AH39" s="101"/>
      <c r="AI39" s="100"/>
      <c r="AJ39" s="102" t="str">
        <f t="shared" si="2"/>
        <v/>
      </c>
      <c r="AK39" s="103" t="str">
        <f t="shared" si="3"/>
        <v/>
      </c>
    </row>
    <row r="40" spans="2:37" ht="21" x14ac:dyDescent="0.3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1" t="str">
        <f t="shared" si="0"/>
        <v/>
      </c>
      <c r="AE40" s="101" t="str">
        <f t="shared" si="1"/>
        <v/>
      </c>
      <c r="AF40" s="101"/>
      <c r="AG40" s="100"/>
      <c r="AH40" s="101"/>
      <c r="AI40" s="100"/>
      <c r="AJ40" s="102" t="str">
        <f t="shared" si="2"/>
        <v/>
      </c>
      <c r="AK40" s="103" t="str">
        <f t="shared" si="3"/>
        <v/>
      </c>
    </row>
    <row r="41" spans="2:37" ht="21" x14ac:dyDescent="0.35">
      <c r="B41" s="99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1" t="str">
        <f t="shared" si="0"/>
        <v/>
      </c>
      <c r="AE41" s="101" t="str">
        <f t="shared" si="1"/>
        <v/>
      </c>
      <c r="AF41" s="101"/>
      <c r="AG41" s="100"/>
      <c r="AH41" s="101"/>
      <c r="AI41" s="100"/>
      <c r="AJ41" s="102" t="str">
        <f t="shared" si="2"/>
        <v/>
      </c>
      <c r="AK41" s="103" t="str">
        <f t="shared" si="3"/>
        <v/>
      </c>
    </row>
    <row r="42" spans="2:37" ht="21" x14ac:dyDescent="0.35">
      <c r="B42" s="99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1" t="str">
        <f t="shared" si="0"/>
        <v/>
      </c>
      <c r="AE42" s="101" t="str">
        <f t="shared" si="1"/>
        <v/>
      </c>
      <c r="AF42" s="101"/>
      <c r="AG42" s="100"/>
      <c r="AH42" s="101"/>
      <c r="AI42" s="100"/>
      <c r="AJ42" s="102" t="str">
        <f t="shared" si="2"/>
        <v/>
      </c>
      <c r="AK42" s="103" t="str">
        <f t="shared" si="3"/>
        <v/>
      </c>
    </row>
    <row r="43" spans="2:37" ht="21" x14ac:dyDescent="0.35">
      <c r="B43" s="99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1" t="str">
        <f t="shared" si="0"/>
        <v/>
      </c>
      <c r="AE43" s="101" t="str">
        <f t="shared" si="1"/>
        <v/>
      </c>
      <c r="AF43" s="101"/>
      <c r="AG43" s="100"/>
      <c r="AH43" s="101"/>
      <c r="AI43" s="100"/>
      <c r="AJ43" s="102" t="str">
        <f t="shared" si="2"/>
        <v/>
      </c>
      <c r="AK43" s="103" t="str">
        <f t="shared" si="3"/>
        <v/>
      </c>
    </row>
    <row r="44" spans="2:37" ht="21" x14ac:dyDescent="0.35">
      <c r="B44" s="99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1" t="str">
        <f t="shared" si="0"/>
        <v/>
      </c>
      <c r="AE44" s="101" t="str">
        <f t="shared" si="1"/>
        <v/>
      </c>
      <c r="AF44" s="101"/>
      <c r="AG44" s="100"/>
      <c r="AH44" s="101"/>
      <c r="AI44" s="100"/>
      <c r="AJ44" s="102" t="str">
        <f t="shared" si="2"/>
        <v/>
      </c>
      <c r="AK44" s="103" t="str">
        <f t="shared" si="3"/>
        <v/>
      </c>
    </row>
    <row r="45" spans="2:37" ht="21" x14ac:dyDescent="0.35">
      <c r="B45" s="99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1" t="str">
        <f t="shared" si="0"/>
        <v/>
      </c>
      <c r="AE45" s="101" t="str">
        <f t="shared" si="1"/>
        <v/>
      </c>
      <c r="AF45" s="101"/>
      <c r="AG45" s="100"/>
      <c r="AH45" s="101"/>
      <c r="AI45" s="100"/>
      <c r="AJ45" s="102" t="str">
        <f t="shared" si="2"/>
        <v/>
      </c>
      <c r="AK45" s="103" t="str">
        <f t="shared" si="3"/>
        <v/>
      </c>
    </row>
    <row r="46" spans="2:37" ht="21" x14ac:dyDescent="0.35">
      <c r="B46" s="99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1" t="str">
        <f t="shared" si="0"/>
        <v/>
      </c>
      <c r="AE46" s="101" t="str">
        <f t="shared" si="1"/>
        <v/>
      </c>
      <c r="AF46" s="101"/>
      <c r="AG46" s="100"/>
      <c r="AH46" s="101"/>
      <c r="AI46" s="100"/>
      <c r="AJ46" s="102" t="str">
        <f t="shared" si="2"/>
        <v/>
      </c>
      <c r="AK46" s="103" t="str">
        <f t="shared" si="3"/>
        <v/>
      </c>
    </row>
    <row r="47" spans="2:37" ht="21" x14ac:dyDescent="0.35">
      <c r="B47" s="99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1" t="str">
        <f t="shared" si="0"/>
        <v/>
      </c>
      <c r="AE47" s="101" t="str">
        <f t="shared" si="1"/>
        <v/>
      </c>
      <c r="AF47" s="101"/>
      <c r="AG47" s="100"/>
      <c r="AH47" s="101"/>
      <c r="AI47" s="100"/>
      <c r="AJ47" s="102" t="str">
        <f t="shared" si="2"/>
        <v/>
      </c>
      <c r="AK47" s="103" t="str">
        <f t="shared" si="3"/>
        <v/>
      </c>
    </row>
    <row r="48" spans="2:37" ht="21" x14ac:dyDescent="0.35">
      <c r="B48" s="77"/>
      <c r="C48" s="77"/>
      <c r="D48" s="77"/>
      <c r="E48" s="77"/>
      <c r="F48" s="77"/>
      <c r="G48" s="77"/>
      <c r="H48" s="77"/>
      <c r="I48" s="78"/>
      <c r="J48" s="77"/>
      <c r="K48" s="77"/>
      <c r="L48" s="77"/>
      <c r="M48" s="78"/>
      <c r="N48" s="77"/>
      <c r="O48" s="77"/>
      <c r="P48" s="77"/>
      <c r="Q48" s="78"/>
      <c r="R48" s="77"/>
      <c r="S48" s="77"/>
      <c r="T48" s="77"/>
      <c r="U48" s="78"/>
      <c r="V48" s="77"/>
      <c r="W48" s="77"/>
      <c r="X48" s="77"/>
      <c r="Y48" s="78"/>
      <c r="Z48" s="77"/>
      <c r="AA48" s="77"/>
      <c r="AB48" s="77"/>
      <c r="AC48" s="77"/>
      <c r="AD48" s="79" t="str">
        <f t="shared" si="0"/>
        <v/>
      </c>
      <c r="AE48" s="80" t="str">
        <f t="shared" si="1"/>
        <v/>
      </c>
      <c r="AF48" s="81"/>
      <c r="AG48" s="77"/>
      <c r="AH48" s="81"/>
      <c r="AI48" s="77"/>
      <c r="AJ48" s="82" t="str">
        <f t="shared" si="2"/>
        <v/>
      </c>
      <c r="AK48" s="83" t="str">
        <f t="shared" si="3"/>
        <v/>
      </c>
    </row>
    <row r="49" spans="2:37" ht="21" x14ac:dyDescent="0.35">
      <c r="B49" s="77"/>
      <c r="C49" s="77"/>
      <c r="D49" s="77"/>
      <c r="E49" s="77"/>
      <c r="F49" s="77"/>
      <c r="G49" s="77"/>
      <c r="H49" s="77"/>
      <c r="I49" s="78"/>
      <c r="J49" s="77"/>
      <c r="K49" s="77"/>
      <c r="L49" s="77"/>
      <c r="M49" s="78"/>
      <c r="N49" s="77"/>
      <c r="O49" s="77"/>
      <c r="P49" s="77"/>
      <c r="Q49" s="78"/>
      <c r="R49" s="77"/>
      <c r="S49" s="77"/>
      <c r="T49" s="77"/>
      <c r="U49" s="78"/>
      <c r="V49" s="77"/>
      <c r="W49" s="77"/>
      <c r="X49" s="77"/>
      <c r="Y49" s="78"/>
      <c r="Z49" s="77"/>
      <c r="AA49" s="77"/>
      <c r="AB49" s="77"/>
      <c r="AC49" s="77"/>
      <c r="AD49" s="79" t="str">
        <f t="shared" si="0"/>
        <v/>
      </c>
      <c r="AE49" s="80" t="str">
        <f t="shared" si="1"/>
        <v/>
      </c>
      <c r="AF49" s="81"/>
      <c r="AG49" s="77"/>
      <c r="AH49" s="81"/>
      <c r="AI49" s="77"/>
      <c r="AJ49" s="82" t="str">
        <f t="shared" si="2"/>
        <v/>
      </c>
      <c r="AK49" s="83" t="str">
        <f t="shared" si="3"/>
        <v/>
      </c>
    </row>
    <row r="50" spans="2:37" ht="21" x14ac:dyDescent="0.35">
      <c r="B50" s="77"/>
      <c r="C50" s="77"/>
      <c r="D50" s="77"/>
      <c r="E50" s="77"/>
      <c r="F50" s="77"/>
      <c r="G50" s="77"/>
      <c r="H50" s="77"/>
      <c r="I50" s="78"/>
      <c r="J50" s="77"/>
      <c r="K50" s="77"/>
      <c r="L50" s="77"/>
      <c r="M50" s="78"/>
      <c r="N50" s="77"/>
      <c r="O50" s="77"/>
      <c r="P50" s="77"/>
      <c r="Q50" s="78"/>
      <c r="R50" s="77"/>
      <c r="S50" s="77"/>
      <c r="T50" s="77"/>
      <c r="U50" s="78"/>
      <c r="V50" s="77"/>
      <c r="W50" s="77"/>
      <c r="X50" s="77"/>
      <c r="Y50" s="78"/>
      <c r="Z50" s="77"/>
      <c r="AA50" s="77"/>
      <c r="AB50" s="77"/>
      <c r="AC50" s="77"/>
      <c r="AD50" s="79" t="str">
        <f t="shared" si="0"/>
        <v/>
      </c>
      <c r="AE50" s="80" t="str">
        <f t="shared" si="1"/>
        <v/>
      </c>
      <c r="AF50" s="81"/>
      <c r="AG50" s="77"/>
      <c r="AH50" s="81"/>
      <c r="AI50" s="77"/>
      <c r="AJ50" s="82" t="str">
        <f t="shared" si="2"/>
        <v/>
      </c>
      <c r="AK50" s="83" t="str">
        <f t="shared" si="3"/>
        <v/>
      </c>
    </row>
    <row r="51" spans="2:37" ht="21" x14ac:dyDescent="0.35">
      <c r="B51" s="77"/>
      <c r="C51" s="77"/>
      <c r="D51" s="77"/>
      <c r="E51" s="77"/>
      <c r="F51" s="77"/>
      <c r="G51" s="77"/>
      <c r="H51" s="77"/>
      <c r="I51" s="78"/>
      <c r="J51" s="77"/>
      <c r="K51" s="77"/>
      <c r="L51" s="77"/>
      <c r="M51" s="78"/>
      <c r="N51" s="77"/>
      <c r="O51" s="77"/>
      <c r="P51" s="77"/>
      <c r="Q51" s="78"/>
      <c r="R51" s="77"/>
      <c r="S51" s="77"/>
      <c r="T51" s="77"/>
      <c r="U51" s="78"/>
      <c r="V51" s="77"/>
      <c r="W51" s="77"/>
      <c r="X51" s="77"/>
      <c r="Y51" s="78"/>
      <c r="Z51" s="77"/>
      <c r="AA51" s="77"/>
      <c r="AB51" s="77"/>
      <c r="AC51" s="77"/>
      <c r="AD51" s="79" t="str">
        <f t="shared" si="0"/>
        <v/>
      </c>
      <c r="AE51" s="80" t="str">
        <f t="shared" si="1"/>
        <v/>
      </c>
      <c r="AF51" s="81"/>
      <c r="AG51" s="77"/>
      <c r="AH51" s="81"/>
      <c r="AI51" s="77"/>
      <c r="AJ51" s="82" t="str">
        <f t="shared" si="2"/>
        <v/>
      </c>
      <c r="AK51" s="83" t="str">
        <f t="shared" si="3"/>
        <v/>
      </c>
    </row>
    <row r="52" spans="2:37" ht="21" x14ac:dyDescent="0.35">
      <c r="B52" s="77"/>
      <c r="C52" s="77"/>
      <c r="D52" s="77"/>
      <c r="E52" s="77"/>
      <c r="F52" s="77"/>
      <c r="G52" s="77"/>
      <c r="H52" s="77"/>
      <c r="I52" s="78"/>
      <c r="J52" s="77"/>
      <c r="K52" s="77"/>
      <c r="L52" s="77"/>
      <c r="M52" s="78"/>
      <c r="N52" s="77"/>
      <c r="O52" s="77"/>
      <c r="P52" s="77"/>
      <c r="Q52" s="78"/>
      <c r="R52" s="77"/>
      <c r="S52" s="77"/>
      <c r="T52" s="77"/>
      <c r="U52" s="78"/>
      <c r="V52" s="77"/>
      <c r="W52" s="77"/>
      <c r="X52" s="77"/>
      <c r="Y52" s="78"/>
      <c r="Z52" s="77"/>
      <c r="AA52" s="77"/>
      <c r="AB52" s="77"/>
      <c r="AC52" s="77"/>
      <c r="AD52" s="79" t="str">
        <f t="shared" si="0"/>
        <v/>
      </c>
      <c r="AE52" s="80" t="str">
        <f t="shared" si="1"/>
        <v/>
      </c>
      <c r="AF52" s="81"/>
      <c r="AG52" s="77"/>
      <c r="AH52" s="81"/>
      <c r="AI52" s="77"/>
      <c r="AJ52" s="82" t="str">
        <f t="shared" si="2"/>
        <v/>
      </c>
      <c r="AK52" s="83" t="str">
        <f t="shared" si="3"/>
        <v/>
      </c>
    </row>
    <row r="53" spans="2:37" ht="21" x14ac:dyDescent="0.35">
      <c r="B53" s="77"/>
      <c r="C53" s="77"/>
      <c r="D53" s="77"/>
      <c r="E53" s="77"/>
      <c r="F53" s="77"/>
      <c r="G53" s="77"/>
      <c r="H53" s="77"/>
      <c r="I53" s="78"/>
      <c r="J53" s="77"/>
      <c r="K53" s="77"/>
      <c r="L53" s="77"/>
      <c r="M53" s="78"/>
      <c r="N53" s="77"/>
      <c r="O53" s="77"/>
      <c r="P53" s="77"/>
      <c r="Q53" s="78"/>
      <c r="R53" s="77"/>
      <c r="S53" s="77"/>
      <c r="T53" s="77"/>
      <c r="U53" s="78"/>
      <c r="V53" s="77"/>
      <c r="W53" s="77"/>
      <c r="X53" s="77"/>
      <c r="Y53" s="78"/>
      <c r="Z53" s="77"/>
      <c r="AA53" s="77"/>
      <c r="AB53" s="77"/>
      <c r="AC53" s="77"/>
      <c r="AD53" s="79" t="str">
        <f t="shared" si="0"/>
        <v/>
      </c>
      <c r="AE53" s="80" t="str">
        <f t="shared" si="1"/>
        <v/>
      </c>
      <c r="AF53" s="81"/>
      <c r="AG53" s="77"/>
      <c r="AH53" s="81"/>
      <c r="AI53" s="77"/>
      <c r="AJ53" s="82" t="str">
        <f t="shared" si="2"/>
        <v/>
      </c>
      <c r="AK53" s="83" t="str">
        <f t="shared" si="3"/>
        <v/>
      </c>
    </row>
    <row r="54" spans="2:37" ht="21" x14ac:dyDescent="0.35">
      <c r="B54" s="77"/>
      <c r="C54" s="77"/>
      <c r="D54" s="77"/>
      <c r="E54" s="77"/>
      <c r="F54" s="77"/>
      <c r="G54" s="77"/>
      <c r="H54" s="77"/>
      <c r="I54" s="78"/>
      <c r="J54" s="77"/>
      <c r="K54" s="77"/>
      <c r="L54" s="77"/>
      <c r="M54" s="78"/>
      <c r="N54" s="77"/>
      <c r="O54" s="77"/>
      <c r="P54" s="77"/>
      <c r="Q54" s="78"/>
      <c r="R54" s="77"/>
      <c r="S54" s="77"/>
      <c r="T54" s="77"/>
      <c r="U54" s="78"/>
      <c r="V54" s="77"/>
      <c r="W54" s="77"/>
      <c r="X54" s="77"/>
      <c r="Y54" s="78"/>
      <c r="Z54" s="77"/>
      <c r="AA54" s="77"/>
      <c r="AB54" s="77"/>
      <c r="AC54" s="77"/>
      <c r="AD54" s="79" t="str">
        <f t="shared" si="0"/>
        <v/>
      </c>
      <c r="AE54" s="80" t="str">
        <f t="shared" si="1"/>
        <v/>
      </c>
      <c r="AF54" s="81"/>
      <c r="AG54" s="77"/>
      <c r="AH54" s="81"/>
      <c r="AI54" s="77"/>
      <c r="AJ54" s="82" t="str">
        <f t="shared" si="2"/>
        <v/>
      </c>
      <c r="AK54" s="83" t="str">
        <f t="shared" si="3"/>
        <v/>
      </c>
    </row>
    <row r="55" spans="2:37" ht="21" x14ac:dyDescent="0.35">
      <c r="B55" s="77"/>
      <c r="C55" s="77"/>
      <c r="D55" s="77"/>
      <c r="E55" s="77"/>
      <c r="F55" s="77"/>
      <c r="G55" s="77"/>
      <c r="H55" s="77"/>
      <c r="I55" s="78"/>
      <c r="J55" s="77"/>
      <c r="K55" s="77"/>
      <c r="L55" s="77"/>
      <c r="M55" s="78"/>
      <c r="N55" s="77"/>
      <c r="O55" s="77"/>
      <c r="P55" s="77"/>
      <c r="Q55" s="78"/>
      <c r="R55" s="77"/>
      <c r="S55" s="77"/>
      <c r="T55" s="77"/>
      <c r="U55" s="78"/>
      <c r="V55" s="77"/>
      <c r="W55" s="77"/>
      <c r="X55" s="77"/>
      <c r="Y55" s="78"/>
      <c r="Z55" s="77"/>
      <c r="AA55" s="77"/>
      <c r="AB55" s="77"/>
      <c r="AC55" s="77"/>
      <c r="AD55" s="79" t="str">
        <f t="shared" si="0"/>
        <v/>
      </c>
      <c r="AE55" s="80" t="str">
        <f t="shared" si="1"/>
        <v/>
      </c>
      <c r="AF55" s="81"/>
      <c r="AG55" s="77"/>
      <c r="AH55" s="81"/>
      <c r="AI55" s="77"/>
      <c r="AJ55" s="82" t="str">
        <f t="shared" si="2"/>
        <v/>
      </c>
      <c r="AK55" s="83" t="str">
        <f t="shared" si="3"/>
        <v/>
      </c>
    </row>
    <row r="56" spans="2:37" ht="21" x14ac:dyDescent="0.35">
      <c r="B56" s="77"/>
      <c r="C56" s="77"/>
      <c r="D56" s="77"/>
      <c r="E56" s="77"/>
      <c r="F56" s="77"/>
      <c r="G56" s="77"/>
      <c r="H56" s="77"/>
      <c r="I56" s="78"/>
      <c r="J56" s="77"/>
      <c r="K56" s="77"/>
      <c r="L56" s="77"/>
      <c r="M56" s="78"/>
      <c r="N56" s="77"/>
      <c r="O56" s="77"/>
      <c r="P56" s="77"/>
      <c r="Q56" s="78"/>
      <c r="R56" s="77"/>
      <c r="S56" s="77"/>
      <c r="T56" s="77"/>
      <c r="U56" s="78"/>
      <c r="V56" s="77"/>
      <c r="W56" s="77"/>
      <c r="X56" s="77"/>
      <c r="Y56" s="78"/>
      <c r="Z56" s="77"/>
      <c r="AA56" s="77"/>
      <c r="AB56" s="77"/>
      <c r="AC56" s="77"/>
      <c r="AD56" s="79" t="str">
        <f t="shared" si="0"/>
        <v/>
      </c>
      <c r="AE56" s="80" t="str">
        <f t="shared" si="1"/>
        <v/>
      </c>
      <c r="AF56" s="81"/>
      <c r="AG56" s="77"/>
      <c r="AH56" s="81"/>
      <c r="AI56" s="77"/>
      <c r="AJ56" s="82" t="str">
        <f t="shared" si="2"/>
        <v/>
      </c>
      <c r="AK56" s="83" t="str">
        <f t="shared" si="3"/>
        <v/>
      </c>
    </row>
    <row r="57" spans="2:37" ht="21" x14ac:dyDescent="0.35">
      <c r="B57" s="77"/>
      <c r="C57" s="77"/>
      <c r="D57" s="77"/>
      <c r="E57" s="77"/>
      <c r="F57" s="77"/>
      <c r="G57" s="77"/>
      <c r="H57" s="77"/>
      <c r="I57" s="78"/>
      <c r="J57" s="77"/>
      <c r="K57" s="77"/>
      <c r="L57" s="77"/>
      <c r="M57" s="78"/>
      <c r="N57" s="77"/>
      <c r="O57" s="77"/>
      <c r="P57" s="77"/>
      <c r="Q57" s="78"/>
      <c r="R57" s="77"/>
      <c r="S57" s="77"/>
      <c r="T57" s="77"/>
      <c r="U57" s="78"/>
      <c r="V57" s="77"/>
      <c r="W57" s="77"/>
      <c r="X57" s="77"/>
      <c r="Y57" s="78"/>
      <c r="Z57" s="77"/>
      <c r="AA57" s="77"/>
      <c r="AB57" s="77"/>
      <c r="AC57" s="77"/>
      <c r="AD57" s="79" t="str">
        <f t="shared" si="0"/>
        <v/>
      </c>
      <c r="AE57" s="80" t="str">
        <f t="shared" si="1"/>
        <v/>
      </c>
      <c r="AF57" s="81"/>
      <c r="AG57" s="77"/>
      <c r="AH57" s="81"/>
      <c r="AI57" s="77"/>
      <c r="AJ57" s="82" t="str">
        <f t="shared" si="2"/>
        <v/>
      </c>
      <c r="AK57" s="83" t="str">
        <f t="shared" si="3"/>
        <v/>
      </c>
    </row>
    <row r="58" spans="2:37" ht="21" x14ac:dyDescent="0.35">
      <c r="B58" s="77"/>
      <c r="C58" s="77"/>
      <c r="D58" s="77"/>
      <c r="E58" s="77"/>
      <c r="F58" s="77"/>
      <c r="G58" s="77"/>
      <c r="H58" s="77"/>
      <c r="I58" s="78"/>
      <c r="J58" s="77"/>
      <c r="K58" s="77"/>
      <c r="L58" s="77"/>
      <c r="M58" s="78"/>
      <c r="N58" s="77"/>
      <c r="O58" s="77"/>
      <c r="P58" s="77"/>
      <c r="Q58" s="78"/>
      <c r="R58" s="77"/>
      <c r="S58" s="77"/>
      <c r="T58" s="77"/>
      <c r="U58" s="78"/>
      <c r="V58" s="77"/>
      <c r="W58" s="77"/>
      <c r="X58" s="77"/>
      <c r="Y58" s="78"/>
      <c r="Z58" s="77"/>
      <c r="AA58" s="77"/>
      <c r="AB58" s="77"/>
      <c r="AC58" s="77"/>
      <c r="AD58" s="79" t="str">
        <f t="shared" si="0"/>
        <v/>
      </c>
      <c r="AE58" s="80" t="str">
        <f t="shared" si="1"/>
        <v/>
      </c>
      <c r="AF58" s="81"/>
      <c r="AG58" s="77"/>
      <c r="AH58" s="81"/>
      <c r="AI58" s="77"/>
      <c r="AJ58" s="82" t="str">
        <f t="shared" si="2"/>
        <v/>
      </c>
      <c r="AK58" s="83" t="str">
        <f t="shared" si="3"/>
        <v/>
      </c>
    </row>
    <row r="59" spans="2:37" ht="21" x14ac:dyDescent="0.35">
      <c r="B59" s="77"/>
      <c r="C59" s="77"/>
      <c r="D59" s="77"/>
      <c r="E59" s="77"/>
      <c r="F59" s="77"/>
      <c r="G59" s="77"/>
      <c r="H59" s="77"/>
      <c r="I59" s="78"/>
      <c r="J59" s="77"/>
      <c r="K59" s="77"/>
      <c r="L59" s="77"/>
      <c r="M59" s="78"/>
      <c r="N59" s="77"/>
      <c r="O59" s="77"/>
      <c r="P59" s="77"/>
      <c r="Q59" s="78"/>
      <c r="R59" s="77"/>
      <c r="S59" s="77"/>
      <c r="T59" s="77"/>
      <c r="U59" s="78"/>
      <c r="V59" s="77"/>
      <c r="W59" s="77"/>
      <c r="X59" s="77"/>
      <c r="Y59" s="78"/>
      <c r="Z59" s="77"/>
      <c r="AA59" s="77"/>
      <c r="AB59" s="77"/>
      <c r="AC59" s="77"/>
      <c r="AD59" s="79" t="str">
        <f t="shared" si="0"/>
        <v/>
      </c>
      <c r="AE59" s="80" t="str">
        <f t="shared" si="1"/>
        <v/>
      </c>
      <c r="AF59" s="81"/>
      <c r="AG59" s="77"/>
      <c r="AH59" s="81"/>
      <c r="AI59" s="77"/>
      <c r="AJ59" s="82" t="str">
        <f t="shared" si="2"/>
        <v/>
      </c>
      <c r="AK59" s="83" t="str">
        <f t="shared" si="3"/>
        <v/>
      </c>
    </row>
    <row r="60" spans="2:37" ht="21" x14ac:dyDescent="0.35">
      <c r="B60" s="77"/>
      <c r="C60" s="77"/>
      <c r="D60" s="77"/>
      <c r="E60" s="77"/>
      <c r="F60" s="77"/>
      <c r="G60" s="77"/>
      <c r="H60" s="77"/>
      <c r="I60" s="78"/>
      <c r="J60" s="77"/>
      <c r="K60" s="77"/>
      <c r="L60" s="77"/>
      <c r="M60" s="78"/>
      <c r="N60" s="77"/>
      <c r="O60" s="77"/>
      <c r="P60" s="77"/>
      <c r="Q60" s="78"/>
      <c r="R60" s="77"/>
      <c r="S60" s="77"/>
      <c r="T60" s="77"/>
      <c r="U60" s="78"/>
      <c r="V60" s="77"/>
      <c r="W60" s="77"/>
      <c r="X60" s="77"/>
      <c r="Y60" s="78"/>
      <c r="Z60" s="77"/>
      <c r="AA60" s="77"/>
      <c r="AB60" s="77"/>
      <c r="AC60" s="77"/>
      <c r="AD60" s="79" t="str">
        <f t="shared" si="0"/>
        <v/>
      </c>
      <c r="AE60" s="80" t="str">
        <f t="shared" si="1"/>
        <v/>
      </c>
      <c r="AF60" s="81"/>
      <c r="AG60" s="77"/>
      <c r="AH60" s="81"/>
      <c r="AI60" s="77"/>
      <c r="AJ60" s="82" t="str">
        <f t="shared" si="2"/>
        <v/>
      </c>
      <c r="AK60" s="83" t="str">
        <f t="shared" si="3"/>
        <v/>
      </c>
    </row>
    <row r="61" spans="2:37" ht="21" x14ac:dyDescent="0.35">
      <c r="B61" s="77"/>
      <c r="C61" s="77"/>
      <c r="D61" s="77"/>
      <c r="E61" s="77"/>
      <c r="F61" s="77"/>
      <c r="G61" s="77"/>
      <c r="H61" s="77"/>
      <c r="I61" s="78"/>
      <c r="J61" s="77"/>
      <c r="K61" s="77"/>
      <c r="L61" s="77"/>
      <c r="M61" s="78"/>
      <c r="N61" s="77"/>
      <c r="O61" s="77"/>
      <c r="P61" s="77"/>
      <c r="Q61" s="78"/>
      <c r="R61" s="77"/>
      <c r="S61" s="77"/>
      <c r="T61" s="77"/>
      <c r="U61" s="78"/>
      <c r="V61" s="77"/>
      <c r="W61" s="77"/>
      <c r="X61" s="77"/>
      <c r="Y61" s="78"/>
      <c r="Z61" s="77"/>
      <c r="AA61" s="77"/>
      <c r="AB61" s="77"/>
      <c r="AC61" s="77"/>
      <c r="AD61" s="79" t="str">
        <f t="shared" si="0"/>
        <v/>
      </c>
      <c r="AE61" s="80" t="str">
        <f t="shared" si="1"/>
        <v/>
      </c>
      <c r="AF61" s="81"/>
      <c r="AG61" s="77"/>
      <c r="AH61" s="81"/>
      <c r="AI61" s="77"/>
      <c r="AJ61" s="82" t="str">
        <f t="shared" si="2"/>
        <v/>
      </c>
      <c r="AK61" s="83" t="str">
        <f t="shared" si="3"/>
        <v/>
      </c>
    </row>
    <row r="62" spans="2:37" ht="21" x14ac:dyDescent="0.35">
      <c r="B62" s="77"/>
      <c r="C62" s="77"/>
      <c r="D62" s="77"/>
      <c r="E62" s="77"/>
      <c r="F62" s="77"/>
      <c r="G62" s="77"/>
      <c r="H62" s="77"/>
      <c r="I62" s="78"/>
      <c r="J62" s="77"/>
      <c r="K62" s="77"/>
      <c r="L62" s="77"/>
      <c r="M62" s="78"/>
      <c r="N62" s="77"/>
      <c r="O62" s="77"/>
      <c r="P62" s="77"/>
      <c r="Q62" s="78"/>
      <c r="R62" s="77"/>
      <c r="S62" s="77"/>
      <c r="T62" s="77"/>
      <c r="U62" s="78"/>
      <c r="V62" s="77"/>
      <c r="W62" s="77"/>
      <c r="X62" s="77"/>
      <c r="Y62" s="78"/>
      <c r="Z62" s="77"/>
      <c r="AA62" s="77"/>
      <c r="AB62" s="77"/>
      <c r="AC62" s="77"/>
      <c r="AD62" s="79" t="str">
        <f t="shared" si="0"/>
        <v/>
      </c>
      <c r="AE62" s="80" t="str">
        <f t="shared" si="1"/>
        <v/>
      </c>
      <c r="AF62" s="81"/>
      <c r="AG62" s="77"/>
      <c r="AH62" s="81"/>
      <c r="AI62" s="77"/>
      <c r="AJ62" s="82" t="str">
        <f t="shared" si="2"/>
        <v/>
      </c>
      <c r="AK62" s="83" t="str">
        <f t="shared" si="3"/>
        <v/>
      </c>
    </row>
    <row r="63" spans="2:37" ht="21" x14ac:dyDescent="0.35">
      <c r="B63" s="77"/>
      <c r="C63" s="77"/>
      <c r="D63" s="77"/>
      <c r="E63" s="77"/>
      <c r="F63" s="77"/>
      <c r="G63" s="77"/>
      <c r="H63" s="77"/>
      <c r="I63" s="78"/>
      <c r="J63" s="77"/>
      <c r="K63" s="77"/>
      <c r="L63" s="77"/>
      <c r="M63" s="78"/>
      <c r="N63" s="77"/>
      <c r="O63" s="77"/>
      <c r="P63" s="77"/>
      <c r="Q63" s="78"/>
      <c r="R63" s="77"/>
      <c r="S63" s="77"/>
      <c r="T63" s="77"/>
      <c r="U63" s="78"/>
      <c r="V63" s="77"/>
      <c r="W63" s="77"/>
      <c r="X63" s="77"/>
      <c r="Y63" s="78"/>
      <c r="Z63" s="77"/>
      <c r="AA63" s="77"/>
      <c r="AB63" s="77"/>
      <c r="AC63" s="77"/>
      <c r="AD63" s="79" t="str">
        <f t="shared" si="0"/>
        <v/>
      </c>
      <c r="AE63" s="80" t="str">
        <f t="shared" si="1"/>
        <v/>
      </c>
      <c r="AF63" s="81"/>
      <c r="AG63" s="77"/>
      <c r="AH63" s="81"/>
      <c r="AI63" s="77"/>
      <c r="AJ63" s="82" t="str">
        <f t="shared" si="2"/>
        <v/>
      </c>
      <c r="AK63" s="83" t="str">
        <f t="shared" si="3"/>
        <v/>
      </c>
    </row>
    <row r="64" spans="2:37" ht="21" x14ac:dyDescent="0.35">
      <c r="B64" s="77"/>
      <c r="C64" s="77"/>
      <c r="D64" s="77"/>
      <c r="E64" s="77"/>
      <c r="F64" s="77"/>
      <c r="G64" s="77"/>
      <c r="H64" s="77"/>
      <c r="I64" s="78"/>
      <c r="J64" s="77"/>
      <c r="K64" s="77"/>
      <c r="L64" s="77"/>
      <c r="M64" s="78"/>
      <c r="N64" s="77"/>
      <c r="O64" s="77"/>
      <c r="P64" s="77"/>
      <c r="Q64" s="78"/>
      <c r="R64" s="77"/>
      <c r="S64" s="77"/>
      <c r="T64" s="77"/>
      <c r="U64" s="78"/>
      <c r="V64" s="77"/>
      <c r="W64" s="77"/>
      <c r="X64" s="77"/>
      <c r="Y64" s="78"/>
      <c r="Z64" s="77"/>
      <c r="AA64" s="77"/>
      <c r="AB64" s="77"/>
      <c r="AC64" s="77"/>
      <c r="AD64" s="79" t="str">
        <f t="shared" si="0"/>
        <v/>
      </c>
      <c r="AE64" s="80" t="str">
        <f t="shared" si="1"/>
        <v/>
      </c>
      <c r="AF64" s="81"/>
      <c r="AG64" s="77"/>
      <c r="AH64" s="81"/>
      <c r="AI64" s="77"/>
      <c r="AJ64" s="82" t="str">
        <f t="shared" si="2"/>
        <v/>
      </c>
      <c r="AK64" s="83" t="str">
        <f t="shared" si="3"/>
        <v/>
      </c>
    </row>
    <row r="65" spans="2:37" ht="21" x14ac:dyDescent="0.35">
      <c r="B65" s="77"/>
      <c r="C65" s="77"/>
      <c r="D65" s="77"/>
      <c r="E65" s="77"/>
      <c r="F65" s="77"/>
      <c r="G65" s="77"/>
      <c r="H65" s="77"/>
      <c r="I65" s="78"/>
      <c r="J65" s="77"/>
      <c r="K65" s="77"/>
      <c r="L65" s="77"/>
      <c r="M65" s="78"/>
      <c r="N65" s="77"/>
      <c r="O65" s="77"/>
      <c r="P65" s="77"/>
      <c r="Q65" s="78"/>
      <c r="R65" s="77"/>
      <c r="S65" s="77"/>
      <c r="T65" s="77"/>
      <c r="U65" s="78"/>
      <c r="V65" s="77"/>
      <c r="W65" s="77"/>
      <c r="X65" s="77"/>
      <c r="Y65" s="78"/>
      <c r="Z65" s="77"/>
      <c r="AA65" s="77"/>
      <c r="AB65" s="77"/>
      <c r="AC65" s="77"/>
      <c r="AD65" s="79" t="str">
        <f t="shared" si="0"/>
        <v/>
      </c>
      <c r="AE65" s="80" t="str">
        <f t="shared" si="1"/>
        <v/>
      </c>
      <c r="AF65" s="81"/>
      <c r="AG65" s="77"/>
      <c r="AH65" s="81"/>
      <c r="AI65" s="77"/>
      <c r="AJ65" s="82" t="str">
        <f t="shared" si="2"/>
        <v/>
      </c>
      <c r="AK65" s="83" t="str">
        <f t="shared" si="3"/>
        <v/>
      </c>
    </row>
    <row r="66" spans="2:37" ht="21" x14ac:dyDescent="0.35">
      <c r="B66" s="77"/>
      <c r="C66" s="77"/>
      <c r="D66" s="77"/>
      <c r="E66" s="77"/>
      <c r="F66" s="77"/>
      <c r="G66" s="77"/>
      <c r="H66" s="77"/>
      <c r="I66" s="78"/>
      <c r="J66" s="77"/>
      <c r="K66" s="77"/>
      <c r="L66" s="77"/>
      <c r="M66" s="78"/>
      <c r="N66" s="77"/>
      <c r="O66" s="77"/>
      <c r="P66" s="77"/>
      <c r="Q66" s="78"/>
      <c r="R66" s="77"/>
      <c r="S66" s="77"/>
      <c r="T66" s="77"/>
      <c r="U66" s="78"/>
      <c r="V66" s="77"/>
      <c r="W66" s="77"/>
      <c r="X66" s="77"/>
      <c r="Y66" s="78"/>
      <c r="Z66" s="77"/>
      <c r="AA66" s="77"/>
      <c r="AB66" s="77"/>
      <c r="AC66" s="77"/>
      <c r="AD66" s="79" t="str">
        <f t="shared" si="0"/>
        <v/>
      </c>
      <c r="AE66" s="80" t="str">
        <f t="shared" si="1"/>
        <v/>
      </c>
      <c r="AF66" s="81"/>
      <c r="AG66" s="77"/>
      <c r="AH66" s="81"/>
      <c r="AI66" s="77"/>
      <c r="AJ66" s="82" t="str">
        <f t="shared" si="2"/>
        <v/>
      </c>
      <c r="AK66" s="83" t="str">
        <f t="shared" si="3"/>
        <v/>
      </c>
    </row>
    <row r="67" spans="2:37" ht="21" x14ac:dyDescent="0.35">
      <c r="B67" s="77"/>
      <c r="C67" s="77"/>
      <c r="D67" s="77"/>
      <c r="E67" s="77"/>
      <c r="F67" s="77"/>
      <c r="G67" s="77"/>
      <c r="H67" s="77"/>
      <c r="I67" s="78"/>
      <c r="J67" s="77"/>
      <c r="K67" s="77"/>
      <c r="L67" s="77"/>
      <c r="M67" s="78"/>
      <c r="N67" s="77"/>
      <c r="O67" s="77"/>
      <c r="P67" s="77"/>
      <c r="Q67" s="78"/>
      <c r="R67" s="77"/>
      <c r="S67" s="77"/>
      <c r="T67" s="77"/>
      <c r="U67" s="78"/>
      <c r="V67" s="77"/>
      <c r="W67" s="77"/>
      <c r="X67" s="77"/>
      <c r="Y67" s="78"/>
      <c r="Z67" s="77"/>
      <c r="AA67" s="77"/>
      <c r="AB67" s="77"/>
      <c r="AC67" s="77"/>
      <c r="AD67" s="79" t="str">
        <f t="shared" si="0"/>
        <v/>
      </c>
      <c r="AE67" s="80" t="str">
        <f t="shared" si="1"/>
        <v/>
      </c>
      <c r="AF67" s="81"/>
      <c r="AG67" s="77"/>
      <c r="AH67" s="81"/>
      <c r="AI67" s="77"/>
      <c r="AJ67" s="82" t="str">
        <f t="shared" si="2"/>
        <v/>
      </c>
      <c r="AK67" s="83" t="str">
        <f t="shared" si="3"/>
        <v/>
      </c>
    </row>
    <row r="68" spans="2:37" ht="21" x14ac:dyDescent="0.35">
      <c r="B68" s="77"/>
      <c r="C68" s="77"/>
      <c r="D68" s="77"/>
      <c r="E68" s="77"/>
      <c r="F68" s="77"/>
      <c r="G68" s="77"/>
      <c r="H68" s="77"/>
      <c r="I68" s="78"/>
      <c r="J68" s="77"/>
      <c r="K68" s="77"/>
      <c r="L68" s="77"/>
      <c r="M68" s="78"/>
      <c r="N68" s="77"/>
      <c r="O68" s="77"/>
      <c r="P68" s="77"/>
      <c r="Q68" s="78"/>
      <c r="R68" s="77"/>
      <c r="S68" s="77"/>
      <c r="T68" s="77"/>
      <c r="U68" s="78"/>
      <c r="V68" s="77"/>
      <c r="W68" s="77"/>
      <c r="X68" s="77"/>
      <c r="Y68" s="78"/>
      <c r="Z68" s="77"/>
      <c r="AA68" s="77"/>
      <c r="AB68" s="77"/>
      <c r="AC68" s="77"/>
      <c r="AD68" s="79" t="str">
        <f t="shared" ref="AD68:AD131" si="4">IF(MIN(F68,J68,N68,R68,V68,Z68)&lt;&gt;0,MIN(F68,J68,N68,R68,V68,Z68),"")</f>
        <v/>
      </c>
      <c r="AE68" s="80" t="str">
        <f t="shared" ref="AE68:AE131" si="5">IF(MIN(H68,L68,P68,T68,X68,AB68)&lt;&gt;0,MIN(H68,L68,P68,T68,X68,AB68),"")</f>
        <v/>
      </c>
      <c r="AF68" s="81"/>
      <c r="AG68" s="77"/>
      <c r="AH68" s="81"/>
      <c r="AI68" s="77"/>
      <c r="AJ68" s="82" t="str">
        <f t="shared" ref="AJ68:AJ131" si="6">IF(AD68="","",IF(ISBLANK(AF68),"En cours",AD68+AF68))</f>
        <v/>
      </c>
      <c r="AK68" s="83" t="str">
        <f t="shared" ref="AK68:AK131" si="7">IF(AE68="","",IF(ISBLANK(AH68),"En cours",AE68+AH68))</f>
        <v/>
      </c>
    </row>
    <row r="69" spans="2:37" ht="21" x14ac:dyDescent="0.35">
      <c r="B69" s="77"/>
      <c r="C69" s="77"/>
      <c r="D69" s="77"/>
      <c r="E69" s="77"/>
      <c r="F69" s="77"/>
      <c r="G69" s="77"/>
      <c r="H69" s="77"/>
      <c r="I69" s="78"/>
      <c r="J69" s="77"/>
      <c r="K69" s="77"/>
      <c r="L69" s="77"/>
      <c r="M69" s="78"/>
      <c r="N69" s="77"/>
      <c r="O69" s="77"/>
      <c r="P69" s="77"/>
      <c r="Q69" s="78"/>
      <c r="R69" s="77"/>
      <c r="S69" s="77"/>
      <c r="T69" s="77"/>
      <c r="U69" s="78"/>
      <c r="V69" s="77"/>
      <c r="W69" s="77"/>
      <c r="X69" s="77"/>
      <c r="Y69" s="78"/>
      <c r="Z69" s="77"/>
      <c r="AA69" s="77"/>
      <c r="AB69" s="77"/>
      <c r="AC69" s="77"/>
      <c r="AD69" s="79" t="str">
        <f t="shared" si="4"/>
        <v/>
      </c>
      <c r="AE69" s="80" t="str">
        <f t="shared" si="5"/>
        <v/>
      </c>
      <c r="AF69" s="81"/>
      <c r="AG69" s="77"/>
      <c r="AH69" s="81"/>
      <c r="AI69" s="77"/>
      <c r="AJ69" s="82" t="str">
        <f t="shared" si="6"/>
        <v/>
      </c>
      <c r="AK69" s="83" t="str">
        <f t="shared" si="7"/>
        <v/>
      </c>
    </row>
    <row r="70" spans="2:37" ht="21" x14ac:dyDescent="0.35">
      <c r="B70" s="77"/>
      <c r="C70" s="77"/>
      <c r="D70" s="77"/>
      <c r="E70" s="77"/>
      <c r="F70" s="77"/>
      <c r="G70" s="77"/>
      <c r="H70" s="77"/>
      <c r="I70" s="78"/>
      <c r="J70" s="77"/>
      <c r="K70" s="77"/>
      <c r="L70" s="77"/>
      <c r="M70" s="78"/>
      <c r="N70" s="77"/>
      <c r="O70" s="77"/>
      <c r="P70" s="77"/>
      <c r="Q70" s="78"/>
      <c r="R70" s="77"/>
      <c r="S70" s="77"/>
      <c r="T70" s="77"/>
      <c r="U70" s="78"/>
      <c r="V70" s="77"/>
      <c r="W70" s="77"/>
      <c r="X70" s="77"/>
      <c r="Y70" s="78"/>
      <c r="Z70" s="77"/>
      <c r="AA70" s="77"/>
      <c r="AB70" s="77"/>
      <c r="AC70" s="77"/>
      <c r="AD70" s="79" t="str">
        <f t="shared" si="4"/>
        <v/>
      </c>
      <c r="AE70" s="80" t="str">
        <f t="shared" si="5"/>
        <v/>
      </c>
      <c r="AF70" s="81"/>
      <c r="AG70" s="77"/>
      <c r="AH70" s="81"/>
      <c r="AI70" s="77"/>
      <c r="AJ70" s="82" t="str">
        <f t="shared" si="6"/>
        <v/>
      </c>
      <c r="AK70" s="83" t="str">
        <f t="shared" si="7"/>
        <v/>
      </c>
    </row>
    <row r="71" spans="2:37" ht="21" x14ac:dyDescent="0.35">
      <c r="B71" s="77"/>
      <c r="C71" s="77"/>
      <c r="D71" s="77"/>
      <c r="E71" s="77"/>
      <c r="F71" s="77"/>
      <c r="G71" s="77"/>
      <c r="H71" s="77"/>
      <c r="I71" s="78"/>
      <c r="J71" s="77"/>
      <c r="K71" s="77"/>
      <c r="L71" s="77"/>
      <c r="M71" s="78"/>
      <c r="N71" s="77"/>
      <c r="O71" s="77"/>
      <c r="P71" s="77"/>
      <c r="Q71" s="78"/>
      <c r="R71" s="77"/>
      <c r="S71" s="77"/>
      <c r="T71" s="77"/>
      <c r="U71" s="78"/>
      <c r="V71" s="77"/>
      <c r="W71" s="77"/>
      <c r="X71" s="77"/>
      <c r="Y71" s="78"/>
      <c r="Z71" s="77"/>
      <c r="AA71" s="77"/>
      <c r="AB71" s="77"/>
      <c r="AC71" s="77"/>
      <c r="AD71" s="79" t="str">
        <f t="shared" si="4"/>
        <v/>
      </c>
      <c r="AE71" s="80" t="str">
        <f t="shared" si="5"/>
        <v/>
      </c>
      <c r="AF71" s="81"/>
      <c r="AG71" s="77"/>
      <c r="AH71" s="81"/>
      <c r="AI71" s="77"/>
      <c r="AJ71" s="82" t="str">
        <f t="shared" si="6"/>
        <v/>
      </c>
      <c r="AK71" s="83" t="str">
        <f t="shared" si="7"/>
        <v/>
      </c>
    </row>
    <row r="72" spans="2:37" ht="21" x14ac:dyDescent="0.35">
      <c r="B72" s="77"/>
      <c r="C72" s="77"/>
      <c r="D72" s="77"/>
      <c r="E72" s="77"/>
      <c r="F72" s="77"/>
      <c r="G72" s="77"/>
      <c r="H72" s="77"/>
      <c r="I72" s="78"/>
      <c r="J72" s="77"/>
      <c r="K72" s="77"/>
      <c r="L72" s="77"/>
      <c r="M72" s="78"/>
      <c r="N72" s="77"/>
      <c r="O72" s="77"/>
      <c r="P72" s="77"/>
      <c r="Q72" s="78"/>
      <c r="R72" s="77"/>
      <c r="S72" s="77"/>
      <c r="T72" s="77"/>
      <c r="U72" s="78"/>
      <c r="V72" s="77"/>
      <c r="W72" s="77"/>
      <c r="X72" s="77"/>
      <c r="Y72" s="78"/>
      <c r="Z72" s="77"/>
      <c r="AA72" s="77"/>
      <c r="AB72" s="77"/>
      <c r="AC72" s="77"/>
      <c r="AD72" s="79" t="str">
        <f t="shared" si="4"/>
        <v/>
      </c>
      <c r="AE72" s="80" t="str">
        <f t="shared" si="5"/>
        <v/>
      </c>
      <c r="AF72" s="81"/>
      <c r="AG72" s="77"/>
      <c r="AH72" s="81"/>
      <c r="AI72" s="77"/>
      <c r="AJ72" s="82" t="str">
        <f t="shared" si="6"/>
        <v/>
      </c>
      <c r="AK72" s="83" t="str">
        <f t="shared" si="7"/>
        <v/>
      </c>
    </row>
    <row r="73" spans="2:37" ht="21" x14ac:dyDescent="0.35">
      <c r="B73" s="77"/>
      <c r="C73" s="77"/>
      <c r="D73" s="77"/>
      <c r="E73" s="77"/>
      <c r="F73" s="77"/>
      <c r="G73" s="77"/>
      <c r="H73" s="77"/>
      <c r="I73" s="78"/>
      <c r="J73" s="77"/>
      <c r="K73" s="77"/>
      <c r="L73" s="77"/>
      <c r="M73" s="78"/>
      <c r="N73" s="77"/>
      <c r="O73" s="77"/>
      <c r="P73" s="77"/>
      <c r="Q73" s="78"/>
      <c r="R73" s="77"/>
      <c r="S73" s="77"/>
      <c r="T73" s="77"/>
      <c r="U73" s="78"/>
      <c r="V73" s="77"/>
      <c r="W73" s="77"/>
      <c r="X73" s="77"/>
      <c r="Y73" s="78"/>
      <c r="Z73" s="77"/>
      <c r="AA73" s="77"/>
      <c r="AB73" s="77"/>
      <c r="AC73" s="77"/>
      <c r="AD73" s="79" t="str">
        <f t="shared" si="4"/>
        <v/>
      </c>
      <c r="AE73" s="80" t="str">
        <f t="shared" si="5"/>
        <v/>
      </c>
      <c r="AF73" s="81"/>
      <c r="AG73" s="77"/>
      <c r="AH73" s="81"/>
      <c r="AI73" s="77"/>
      <c r="AJ73" s="82" t="str">
        <f t="shared" si="6"/>
        <v/>
      </c>
      <c r="AK73" s="83" t="str">
        <f t="shared" si="7"/>
        <v/>
      </c>
    </row>
    <row r="74" spans="2:37" ht="21" x14ac:dyDescent="0.35">
      <c r="B74" s="77"/>
      <c r="C74" s="77"/>
      <c r="D74" s="77"/>
      <c r="E74" s="77"/>
      <c r="F74" s="77"/>
      <c r="G74" s="77"/>
      <c r="H74" s="77"/>
      <c r="I74" s="78"/>
      <c r="J74" s="77"/>
      <c r="K74" s="77"/>
      <c r="L74" s="77"/>
      <c r="M74" s="78"/>
      <c r="N74" s="77"/>
      <c r="O74" s="77"/>
      <c r="P74" s="77"/>
      <c r="Q74" s="78"/>
      <c r="R74" s="77"/>
      <c r="S74" s="77"/>
      <c r="T74" s="77"/>
      <c r="U74" s="78"/>
      <c r="V74" s="77"/>
      <c r="W74" s="77"/>
      <c r="X74" s="77"/>
      <c r="Y74" s="78"/>
      <c r="Z74" s="77"/>
      <c r="AA74" s="77"/>
      <c r="AB74" s="77"/>
      <c r="AC74" s="77"/>
      <c r="AD74" s="79" t="str">
        <f t="shared" si="4"/>
        <v/>
      </c>
      <c r="AE74" s="80" t="str">
        <f t="shared" si="5"/>
        <v/>
      </c>
      <c r="AF74" s="81"/>
      <c r="AG74" s="77"/>
      <c r="AH74" s="81"/>
      <c r="AI74" s="77"/>
      <c r="AJ74" s="82" t="str">
        <f t="shared" si="6"/>
        <v/>
      </c>
      <c r="AK74" s="83" t="str">
        <f t="shared" si="7"/>
        <v/>
      </c>
    </row>
    <row r="75" spans="2:37" ht="21" x14ac:dyDescent="0.35">
      <c r="B75" s="77"/>
      <c r="C75" s="77"/>
      <c r="D75" s="77"/>
      <c r="E75" s="77"/>
      <c r="F75" s="77"/>
      <c r="G75" s="77"/>
      <c r="H75" s="77"/>
      <c r="I75" s="78"/>
      <c r="J75" s="77"/>
      <c r="K75" s="77"/>
      <c r="L75" s="77"/>
      <c r="M75" s="78"/>
      <c r="N75" s="77"/>
      <c r="O75" s="77"/>
      <c r="P75" s="77"/>
      <c r="Q75" s="78"/>
      <c r="R75" s="77"/>
      <c r="S75" s="77"/>
      <c r="T75" s="77"/>
      <c r="U75" s="78"/>
      <c r="V75" s="77"/>
      <c r="W75" s="77"/>
      <c r="X75" s="77"/>
      <c r="Y75" s="78"/>
      <c r="Z75" s="77"/>
      <c r="AA75" s="77"/>
      <c r="AB75" s="77"/>
      <c r="AC75" s="77"/>
      <c r="AD75" s="79" t="str">
        <f t="shared" si="4"/>
        <v/>
      </c>
      <c r="AE75" s="80" t="str">
        <f t="shared" si="5"/>
        <v/>
      </c>
      <c r="AF75" s="81"/>
      <c r="AG75" s="77"/>
      <c r="AH75" s="81"/>
      <c r="AI75" s="77"/>
      <c r="AJ75" s="82" t="str">
        <f t="shared" si="6"/>
        <v/>
      </c>
      <c r="AK75" s="83" t="str">
        <f t="shared" si="7"/>
        <v/>
      </c>
    </row>
    <row r="76" spans="2:37" ht="21" x14ac:dyDescent="0.35">
      <c r="B76" s="77"/>
      <c r="C76" s="77"/>
      <c r="D76" s="77"/>
      <c r="E76" s="77"/>
      <c r="F76" s="77"/>
      <c r="G76" s="77"/>
      <c r="H76" s="77"/>
      <c r="I76" s="78"/>
      <c r="J76" s="77"/>
      <c r="K76" s="77"/>
      <c r="L76" s="77"/>
      <c r="M76" s="78"/>
      <c r="N76" s="77"/>
      <c r="O76" s="77"/>
      <c r="P76" s="77"/>
      <c r="Q76" s="78"/>
      <c r="R76" s="77"/>
      <c r="S76" s="77"/>
      <c r="T76" s="77"/>
      <c r="U76" s="78"/>
      <c r="V76" s="77"/>
      <c r="W76" s="77"/>
      <c r="X76" s="77"/>
      <c r="Y76" s="78"/>
      <c r="Z76" s="77"/>
      <c r="AA76" s="77"/>
      <c r="AB76" s="77"/>
      <c r="AC76" s="77"/>
      <c r="AD76" s="79" t="str">
        <f t="shared" si="4"/>
        <v/>
      </c>
      <c r="AE76" s="80" t="str">
        <f t="shared" si="5"/>
        <v/>
      </c>
      <c r="AF76" s="81"/>
      <c r="AG76" s="77"/>
      <c r="AH76" s="81"/>
      <c r="AI76" s="77"/>
      <c r="AJ76" s="82" t="str">
        <f t="shared" si="6"/>
        <v/>
      </c>
      <c r="AK76" s="83" t="str">
        <f t="shared" si="7"/>
        <v/>
      </c>
    </row>
    <row r="77" spans="2:37" ht="21" x14ac:dyDescent="0.35">
      <c r="B77" s="77"/>
      <c r="C77" s="77"/>
      <c r="D77" s="77"/>
      <c r="E77" s="77"/>
      <c r="F77" s="77"/>
      <c r="G77" s="77"/>
      <c r="H77" s="77"/>
      <c r="I77" s="78"/>
      <c r="J77" s="77"/>
      <c r="K77" s="77"/>
      <c r="L77" s="77"/>
      <c r="M77" s="78"/>
      <c r="N77" s="77"/>
      <c r="O77" s="77"/>
      <c r="P77" s="77"/>
      <c r="Q77" s="78"/>
      <c r="R77" s="77"/>
      <c r="S77" s="77"/>
      <c r="T77" s="77"/>
      <c r="U77" s="78"/>
      <c r="V77" s="77"/>
      <c r="W77" s="77"/>
      <c r="X77" s="77"/>
      <c r="Y77" s="78"/>
      <c r="Z77" s="77"/>
      <c r="AA77" s="77"/>
      <c r="AB77" s="77"/>
      <c r="AC77" s="77"/>
      <c r="AD77" s="79" t="str">
        <f t="shared" si="4"/>
        <v/>
      </c>
      <c r="AE77" s="80" t="str">
        <f t="shared" si="5"/>
        <v/>
      </c>
      <c r="AF77" s="81"/>
      <c r="AG77" s="77"/>
      <c r="AH77" s="81"/>
      <c r="AI77" s="77"/>
      <c r="AJ77" s="82" t="str">
        <f t="shared" si="6"/>
        <v/>
      </c>
      <c r="AK77" s="83" t="str">
        <f t="shared" si="7"/>
        <v/>
      </c>
    </row>
    <row r="78" spans="2:37" ht="21" x14ac:dyDescent="0.35">
      <c r="B78" s="77"/>
      <c r="C78" s="77"/>
      <c r="D78" s="77"/>
      <c r="E78" s="77"/>
      <c r="F78" s="77"/>
      <c r="G78" s="77"/>
      <c r="H78" s="77"/>
      <c r="I78" s="78"/>
      <c r="J78" s="77"/>
      <c r="K78" s="77"/>
      <c r="L78" s="77"/>
      <c r="M78" s="78"/>
      <c r="N78" s="77"/>
      <c r="O78" s="77"/>
      <c r="P78" s="77"/>
      <c r="Q78" s="78"/>
      <c r="R78" s="77"/>
      <c r="S78" s="77"/>
      <c r="T78" s="77"/>
      <c r="U78" s="78"/>
      <c r="V78" s="77"/>
      <c r="W78" s="77"/>
      <c r="X78" s="77"/>
      <c r="Y78" s="78"/>
      <c r="Z78" s="77"/>
      <c r="AA78" s="77"/>
      <c r="AB78" s="77"/>
      <c r="AC78" s="77"/>
      <c r="AD78" s="79" t="str">
        <f t="shared" si="4"/>
        <v/>
      </c>
      <c r="AE78" s="80" t="str">
        <f t="shared" si="5"/>
        <v/>
      </c>
      <c r="AF78" s="81"/>
      <c r="AG78" s="77"/>
      <c r="AH78" s="81"/>
      <c r="AI78" s="77"/>
      <c r="AJ78" s="82" t="str">
        <f t="shared" si="6"/>
        <v/>
      </c>
      <c r="AK78" s="83" t="str">
        <f t="shared" si="7"/>
        <v/>
      </c>
    </row>
    <row r="79" spans="2:37" ht="21" x14ac:dyDescent="0.35">
      <c r="B79" s="77"/>
      <c r="C79" s="77"/>
      <c r="D79" s="77"/>
      <c r="E79" s="77"/>
      <c r="F79" s="77"/>
      <c r="G79" s="77"/>
      <c r="H79" s="77"/>
      <c r="I79" s="78"/>
      <c r="J79" s="77"/>
      <c r="K79" s="77"/>
      <c r="L79" s="77"/>
      <c r="M79" s="78"/>
      <c r="N79" s="77"/>
      <c r="O79" s="77"/>
      <c r="P79" s="77"/>
      <c r="Q79" s="78"/>
      <c r="R79" s="77"/>
      <c r="S79" s="77"/>
      <c r="T79" s="77"/>
      <c r="U79" s="78"/>
      <c r="V79" s="77"/>
      <c r="W79" s="77"/>
      <c r="X79" s="77"/>
      <c r="Y79" s="78"/>
      <c r="Z79" s="77"/>
      <c r="AA79" s="77"/>
      <c r="AB79" s="77"/>
      <c r="AC79" s="77"/>
      <c r="AD79" s="79" t="str">
        <f t="shared" si="4"/>
        <v/>
      </c>
      <c r="AE79" s="80" t="str">
        <f t="shared" si="5"/>
        <v/>
      </c>
      <c r="AF79" s="81"/>
      <c r="AG79" s="77"/>
      <c r="AH79" s="81"/>
      <c r="AI79" s="77"/>
      <c r="AJ79" s="82" t="str">
        <f t="shared" si="6"/>
        <v/>
      </c>
      <c r="AK79" s="83" t="str">
        <f t="shared" si="7"/>
        <v/>
      </c>
    </row>
    <row r="80" spans="2:37" ht="21" x14ac:dyDescent="0.35">
      <c r="B80" s="77"/>
      <c r="C80" s="77"/>
      <c r="D80" s="77"/>
      <c r="E80" s="77"/>
      <c r="F80" s="77"/>
      <c r="G80" s="77"/>
      <c r="H80" s="77"/>
      <c r="I80" s="78"/>
      <c r="J80" s="77"/>
      <c r="K80" s="77"/>
      <c r="L80" s="77"/>
      <c r="M80" s="78"/>
      <c r="N80" s="77"/>
      <c r="O80" s="77"/>
      <c r="P80" s="77"/>
      <c r="Q80" s="78"/>
      <c r="R80" s="77"/>
      <c r="S80" s="77"/>
      <c r="T80" s="77"/>
      <c r="U80" s="78"/>
      <c r="V80" s="77"/>
      <c r="W80" s="77"/>
      <c r="X80" s="77"/>
      <c r="Y80" s="78"/>
      <c r="Z80" s="77"/>
      <c r="AA80" s="77"/>
      <c r="AB80" s="77"/>
      <c r="AC80" s="77"/>
      <c r="AD80" s="79" t="str">
        <f t="shared" si="4"/>
        <v/>
      </c>
      <c r="AE80" s="80" t="str">
        <f t="shared" si="5"/>
        <v/>
      </c>
      <c r="AF80" s="81"/>
      <c r="AG80" s="77"/>
      <c r="AH80" s="81"/>
      <c r="AI80" s="77"/>
      <c r="AJ80" s="82" t="str">
        <f t="shared" si="6"/>
        <v/>
      </c>
      <c r="AK80" s="83" t="str">
        <f t="shared" si="7"/>
        <v/>
      </c>
    </row>
    <row r="81" spans="2:37" ht="21" x14ac:dyDescent="0.35">
      <c r="B81" s="77"/>
      <c r="C81" s="77"/>
      <c r="D81" s="77"/>
      <c r="E81" s="77"/>
      <c r="F81" s="77"/>
      <c r="G81" s="77"/>
      <c r="H81" s="77"/>
      <c r="I81" s="78"/>
      <c r="J81" s="77"/>
      <c r="K81" s="77"/>
      <c r="L81" s="77"/>
      <c r="M81" s="78"/>
      <c r="N81" s="77"/>
      <c r="O81" s="77"/>
      <c r="P81" s="77"/>
      <c r="Q81" s="78"/>
      <c r="R81" s="77"/>
      <c r="S81" s="77"/>
      <c r="T81" s="77"/>
      <c r="U81" s="78"/>
      <c r="V81" s="77"/>
      <c r="W81" s="77"/>
      <c r="X81" s="77"/>
      <c r="Y81" s="78"/>
      <c r="Z81" s="77"/>
      <c r="AA81" s="77"/>
      <c r="AB81" s="77"/>
      <c r="AC81" s="77"/>
      <c r="AD81" s="79" t="str">
        <f t="shared" si="4"/>
        <v/>
      </c>
      <c r="AE81" s="80" t="str">
        <f t="shared" si="5"/>
        <v/>
      </c>
      <c r="AF81" s="81"/>
      <c r="AG81" s="77"/>
      <c r="AH81" s="81"/>
      <c r="AI81" s="77"/>
      <c r="AJ81" s="82" t="str">
        <f t="shared" si="6"/>
        <v/>
      </c>
      <c r="AK81" s="83" t="str">
        <f t="shared" si="7"/>
        <v/>
      </c>
    </row>
    <row r="82" spans="2:37" ht="21" x14ac:dyDescent="0.35">
      <c r="B82" s="77"/>
      <c r="C82" s="77"/>
      <c r="D82" s="77"/>
      <c r="E82" s="77"/>
      <c r="F82" s="77"/>
      <c r="G82" s="77"/>
      <c r="H82" s="77"/>
      <c r="I82" s="78"/>
      <c r="J82" s="77"/>
      <c r="K82" s="77"/>
      <c r="L82" s="77"/>
      <c r="M82" s="78"/>
      <c r="N82" s="77"/>
      <c r="O82" s="77"/>
      <c r="P82" s="77"/>
      <c r="Q82" s="78"/>
      <c r="R82" s="77"/>
      <c r="S82" s="77"/>
      <c r="T82" s="77"/>
      <c r="U82" s="78"/>
      <c r="V82" s="77"/>
      <c r="W82" s="77"/>
      <c r="X82" s="77"/>
      <c r="Y82" s="78"/>
      <c r="Z82" s="77"/>
      <c r="AA82" s="77"/>
      <c r="AB82" s="77"/>
      <c r="AC82" s="77"/>
      <c r="AD82" s="79" t="str">
        <f t="shared" si="4"/>
        <v/>
      </c>
      <c r="AE82" s="80" t="str">
        <f t="shared" si="5"/>
        <v/>
      </c>
      <c r="AF82" s="81"/>
      <c r="AG82" s="77"/>
      <c r="AH82" s="81"/>
      <c r="AI82" s="77"/>
      <c r="AJ82" s="82" t="str">
        <f t="shared" si="6"/>
        <v/>
      </c>
      <c r="AK82" s="83" t="str">
        <f t="shared" si="7"/>
        <v/>
      </c>
    </row>
    <row r="83" spans="2:37" ht="21" x14ac:dyDescent="0.35">
      <c r="B83" s="77"/>
      <c r="C83" s="77"/>
      <c r="D83" s="77"/>
      <c r="E83" s="77"/>
      <c r="F83" s="77"/>
      <c r="G83" s="77"/>
      <c r="H83" s="77"/>
      <c r="I83" s="78"/>
      <c r="J83" s="77"/>
      <c r="K83" s="77"/>
      <c r="L83" s="77"/>
      <c r="M83" s="78"/>
      <c r="N83" s="77"/>
      <c r="O83" s="77"/>
      <c r="P83" s="77"/>
      <c r="Q83" s="78"/>
      <c r="R83" s="77"/>
      <c r="S83" s="77"/>
      <c r="T83" s="77"/>
      <c r="U83" s="78"/>
      <c r="V83" s="77"/>
      <c r="W83" s="77"/>
      <c r="X83" s="77"/>
      <c r="Y83" s="78"/>
      <c r="Z83" s="77"/>
      <c r="AA83" s="77"/>
      <c r="AB83" s="77"/>
      <c r="AC83" s="77"/>
      <c r="AD83" s="79" t="str">
        <f t="shared" si="4"/>
        <v/>
      </c>
      <c r="AE83" s="80" t="str">
        <f t="shared" si="5"/>
        <v/>
      </c>
      <c r="AF83" s="81"/>
      <c r="AG83" s="77"/>
      <c r="AH83" s="81"/>
      <c r="AI83" s="77"/>
      <c r="AJ83" s="82" t="str">
        <f t="shared" si="6"/>
        <v/>
      </c>
      <c r="AK83" s="83" t="str">
        <f t="shared" si="7"/>
        <v/>
      </c>
    </row>
    <row r="84" spans="2:37" ht="21" x14ac:dyDescent="0.35">
      <c r="B84" s="77"/>
      <c r="C84" s="77"/>
      <c r="D84" s="77"/>
      <c r="E84" s="77"/>
      <c r="F84" s="77"/>
      <c r="G84" s="77"/>
      <c r="H84" s="77"/>
      <c r="I84" s="78"/>
      <c r="J84" s="77"/>
      <c r="K84" s="77"/>
      <c r="L84" s="77"/>
      <c r="M84" s="78"/>
      <c r="N84" s="77"/>
      <c r="O84" s="77"/>
      <c r="P84" s="77"/>
      <c r="Q84" s="78"/>
      <c r="R84" s="77"/>
      <c r="S84" s="77"/>
      <c r="T84" s="77"/>
      <c r="U84" s="78"/>
      <c r="V84" s="77"/>
      <c r="W84" s="77"/>
      <c r="X84" s="77"/>
      <c r="Y84" s="78"/>
      <c r="Z84" s="77"/>
      <c r="AA84" s="77"/>
      <c r="AB84" s="77"/>
      <c r="AC84" s="77"/>
      <c r="AD84" s="79" t="str">
        <f t="shared" si="4"/>
        <v/>
      </c>
      <c r="AE84" s="80" t="str">
        <f t="shared" si="5"/>
        <v/>
      </c>
      <c r="AF84" s="81"/>
      <c r="AG84" s="77"/>
      <c r="AH84" s="81"/>
      <c r="AI84" s="77"/>
      <c r="AJ84" s="82" t="str">
        <f t="shared" si="6"/>
        <v/>
      </c>
      <c r="AK84" s="83" t="str">
        <f t="shared" si="7"/>
        <v/>
      </c>
    </row>
    <row r="85" spans="2:37" ht="21" x14ac:dyDescent="0.35">
      <c r="B85" s="77"/>
      <c r="C85" s="77"/>
      <c r="D85" s="77"/>
      <c r="E85" s="77"/>
      <c r="F85" s="77"/>
      <c r="G85" s="77"/>
      <c r="H85" s="77"/>
      <c r="I85" s="78"/>
      <c r="J85" s="77"/>
      <c r="K85" s="77"/>
      <c r="L85" s="77"/>
      <c r="M85" s="78"/>
      <c r="N85" s="77"/>
      <c r="O85" s="77"/>
      <c r="P85" s="77"/>
      <c r="Q85" s="78"/>
      <c r="R85" s="77"/>
      <c r="S85" s="77"/>
      <c r="T85" s="77"/>
      <c r="U85" s="78"/>
      <c r="V85" s="77"/>
      <c r="W85" s="77"/>
      <c r="X85" s="77"/>
      <c r="Y85" s="78"/>
      <c r="Z85" s="77"/>
      <c r="AA85" s="77"/>
      <c r="AB85" s="77"/>
      <c r="AC85" s="77"/>
      <c r="AD85" s="79" t="str">
        <f t="shared" si="4"/>
        <v/>
      </c>
      <c r="AE85" s="80" t="str">
        <f t="shared" si="5"/>
        <v/>
      </c>
      <c r="AF85" s="81"/>
      <c r="AG85" s="77"/>
      <c r="AH85" s="81"/>
      <c r="AI85" s="77"/>
      <c r="AJ85" s="82" t="str">
        <f t="shared" si="6"/>
        <v/>
      </c>
      <c r="AK85" s="83" t="str">
        <f t="shared" si="7"/>
        <v/>
      </c>
    </row>
    <row r="86" spans="2:37" ht="21" x14ac:dyDescent="0.35">
      <c r="B86" s="77"/>
      <c r="C86" s="77"/>
      <c r="D86" s="77"/>
      <c r="E86" s="77"/>
      <c r="F86" s="77"/>
      <c r="G86" s="77"/>
      <c r="H86" s="77"/>
      <c r="I86" s="78"/>
      <c r="J86" s="77"/>
      <c r="K86" s="77"/>
      <c r="L86" s="77"/>
      <c r="M86" s="78"/>
      <c r="N86" s="77"/>
      <c r="O86" s="77"/>
      <c r="P86" s="77"/>
      <c r="Q86" s="78"/>
      <c r="R86" s="77"/>
      <c r="S86" s="77"/>
      <c r="T86" s="77"/>
      <c r="U86" s="78"/>
      <c r="V86" s="77"/>
      <c r="W86" s="77"/>
      <c r="X86" s="77"/>
      <c r="Y86" s="78"/>
      <c r="Z86" s="77"/>
      <c r="AA86" s="77"/>
      <c r="AB86" s="77"/>
      <c r="AC86" s="77"/>
      <c r="AD86" s="79" t="str">
        <f t="shared" si="4"/>
        <v/>
      </c>
      <c r="AE86" s="80" t="str">
        <f t="shared" si="5"/>
        <v/>
      </c>
      <c r="AF86" s="81"/>
      <c r="AG86" s="77"/>
      <c r="AH86" s="81"/>
      <c r="AI86" s="77"/>
      <c r="AJ86" s="82" t="str">
        <f t="shared" si="6"/>
        <v/>
      </c>
      <c r="AK86" s="83" t="str">
        <f t="shared" si="7"/>
        <v/>
      </c>
    </row>
    <row r="87" spans="2:37" ht="21" x14ac:dyDescent="0.35">
      <c r="B87" s="77"/>
      <c r="C87" s="77"/>
      <c r="D87" s="77"/>
      <c r="E87" s="77"/>
      <c r="F87" s="77"/>
      <c r="G87" s="77"/>
      <c r="H87" s="77"/>
      <c r="I87" s="78"/>
      <c r="J87" s="77"/>
      <c r="K87" s="77"/>
      <c r="L87" s="77"/>
      <c r="M87" s="78"/>
      <c r="N87" s="77"/>
      <c r="O87" s="77"/>
      <c r="P87" s="77"/>
      <c r="Q87" s="78"/>
      <c r="R87" s="77"/>
      <c r="S87" s="77"/>
      <c r="T87" s="77"/>
      <c r="U87" s="78"/>
      <c r="V87" s="77"/>
      <c r="W87" s="77"/>
      <c r="X87" s="77"/>
      <c r="Y87" s="78"/>
      <c r="Z87" s="77"/>
      <c r="AA87" s="77"/>
      <c r="AB87" s="77"/>
      <c r="AC87" s="77"/>
      <c r="AD87" s="79" t="str">
        <f t="shared" si="4"/>
        <v/>
      </c>
      <c r="AE87" s="80" t="str">
        <f t="shared" si="5"/>
        <v/>
      </c>
      <c r="AF87" s="81"/>
      <c r="AG87" s="77"/>
      <c r="AH87" s="81"/>
      <c r="AI87" s="77"/>
      <c r="AJ87" s="82" t="str">
        <f t="shared" si="6"/>
        <v/>
      </c>
      <c r="AK87" s="83" t="str">
        <f t="shared" si="7"/>
        <v/>
      </c>
    </row>
    <row r="88" spans="2:37" ht="21" x14ac:dyDescent="0.35">
      <c r="B88" s="77"/>
      <c r="C88" s="77"/>
      <c r="D88" s="77"/>
      <c r="E88" s="77"/>
      <c r="F88" s="77"/>
      <c r="G88" s="77"/>
      <c r="H88" s="77"/>
      <c r="I88" s="78"/>
      <c r="J88" s="77"/>
      <c r="K88" s="77"/>
      <c r="L88" s="77"/>
      <c r="M88" s="78"/>
      <c r="N88" s="77"/>
      <c r="O88" s="77"/>
      <c r="P88" s="77"/>
      <c r="Q88" s="78"/>
      <c r="R88" s="77"/>
      <c r="S88" s="77"/>
      <c r="T88" s="77"/>
      <c r="U88" s="78"/>
      <c r="V88" s="77"/>
      <c r="W88" s="77"/>
      <c r="X88" s="77"/>
      <c r="Y88" s="78"/>
      <c r="Z88" s="77"/>
      <c r="AA88" s="77"/>
      <c r="AB88" s="77"/>
      <c r="AC88" s="77"/>
      <c r="AD88" s="79" t="str">
        <f t="shared" si="4"/>
        <v/>
      </c>
      <c r="AE88" s="80" t="str">
        <f t="shared" si="5"/>
        <v/>
      </c>
      <c r="AF88" s="81"/>
      <c r="AG88" s="77"/>
      <c r="AH88" s="81"/>
      <c r="AI88" s="77"/>
      <c r="AJ88" s="82" t="str">
        <f t="shared" si="6"/>
        <v/>
      </c>
      <c r="AK88" s="83" t="str">
        <f t="shared" si="7"/>
        <v/>
      </c>
    </row>
    <row r="89" spans="2:37" ht="21" x14ac:dyDescent="0.35">
      <c r="B89" s="77"/>
      <c r="C89" s="77"/>
      <c r="D89" s="77"/>
      <c r="E89" s="77"/>
      <c r="F89" s="77"/>
      <c r="G89" s="77"/>
      <c r="H89" s="77"/>
      <c r="I89" s="78"/>
      <c r="J89" s="77"/>
      <c r="K89" s="77"/>
      <c r="L89" s="77"/>
      <c r="M89" s="78"/>
      <c r="N89" s="77"/>
      <c r="O89" s="77"/>
      <c r="P89" s="77"/>
      <c r="Q89" s="78"/>
      <c r="R89" s="77"/>
      <c r="S89" s="77"/>
      <c r="T89" s="77"/>
      <c r="U89" s="78"/>
      <c r="V89" s="77"/>
      <c r="W89" s="77"/>
      <c r="X89" s="77"/>
      <c r="Y89" s="78"/>
      <c r="Z89" s="77"/>
      <c r="AA89" s="77"/>
      <c r="AB89" s="77"/>
      <c r="AC89" s="77"/>
      <c r="AD89" s="79" t="str">
        <f t="shared" si="4"/>
        <v/>
      </c>
      <c r="AE89" s="80" t="str">
        <f t="shared" si="5"/>
        <v/>
      </c>
      <c r="AF89" s="81"/>
      <c r="AG89" s="77"/>
      <c r="AH89" s="81"/>
      <c r="AI89" s="77"/>
      <c r="AJ89" s="82" t="str">
        <f t="shared" si="6"/>
        <v/>
      </c>
      <c r="AK89" s="83" t="str">
        <f t="shared" si="7"/>
        <v/>
      </c>
    </row>
    <row r="90" spans="2:37" ht="21" x14ac:dyDescent="0.35">
      <c r="B90" s="77"/>
      <c r="C90" s="77"/>
      <c r="D90" s="77"/>
      <c r="E90" s="77"/>
      <c r="F90" s="77"/>
      <c r="G90" s="77"/>
      <c r="H90" s="77"/>
      <c r="I90" s="78"/>
      <c r="J90" s="77"/>
      <c r="K90" s="77"/>
      <c r="L90" s="77"/>
      <c r="M90" s="78"/>
      <c r="N90" s="77"/>
      <c r="O90" s="77"/>
      <c r="P90" s="77"/>
      <c r="Q90" s="78"/>
      <c r="R90" s="77"/>
      <c r="S90" s="77"/>
      <c r="T90" s="77"/>
      <c r="U90" s="78"/>
      <c r="V90" s="77"/>
      <c r="W90" s="77"/>
      <c r="X90" s="77"/>
      <c r="Y90" s="78"/>
      <c r="Z90" s="77"/>
      <c r="AA90" s="77"/>
      <c r="AB90" s="77"/>
      <c r="AC90" s="77"/>
      <c r="AD90" s="79" t="str">
        <f t="shared" si="4"/>
        <v/>
      </c>
      <c r="AE90" s="80" t="str">
        <f t="shared" si="5"/>
        <v/>
      </c>
      <c r="AF90" s="81"/>
      <c r="AG90" s="77"/>
      <c r="AH90" s="81"/>
      <c r="AI90" s="77"/>
      <c r="AJ90" s="82" t="str">
        <f t="shared" si="6"/>
        <v/>
      </c>
      <c r="AK90" s="83" t="str">
        <f t="shared" si="7"/>
        <v/>
      </c>
    </row>
    <row r="91" spans="2:37" ht="21" x14ac:dyDescent="0.35">
      <c r="B91" s="77"/>
      <c r="C91" s="77"/>
      <c r="D91" s="77"/>
      <c r="E91" s="77"/>
      <c r="F91" s="77"/>
      <c r="G91" s="77"/>
      <c r="H91" s="77"/>
      <c r="I91" s="78"/>
      <c r="J91" s="77"/>
      <c r="K91" s="77"/>
      <c r="L91" s="77"/>
      <c r="M91" s="78"/>
      <c r="N91" s="77"/>
      <c r="O91" s="77"/>
      <c r="P91" s="77"/>
      <c r="Q91" s="78"/>
      <c r="R91" s="77"/>
      <c r="S91" s="77"/>
      <c r="T91" s="77"/>
      <c r="U91" s="78"/>
      <c r="V91" s="77"/>
      <c r="W91" s="77"/>
      <c r="X91" s="77"/>
      <c r="Y91" s="78"/>
      <c r="Z91" s="77"/>
      <c r="AA91" s="77"/>
      <c r="AB91" s="77"/>
      <c r="AC91" s="77"/>
      <c r="AD91" s="79" t="str">
        <f t="shared" si="4"/>
        <v/>
      </c>
      <c r="AE91" s="80" t="str">
        <f t="shared" si="5"/>
        <v/>
      </c>
      <c r="AF91" s="81"/>
      <c r="AG91" s="77"/>
      <c r="AH91" s="81"/>
      <c r="AI91" s="77"/>
      <c r="AJ91" s="82" t="str">
        <f t="shared" si="6"/>
        <v/>
      </c>
      <c r="AK91" s="83" t="str">
        <f t="shared" si="7"/>
        <v/>
      </c>
    </row>
    <row r="92" spans="2:37" ht="21" x14ac:dyDescent="0.35">
      <c r="B92" s="77"/>
      <c r="C92" s="77"/>
      <c r="D92" s="77"/>
      <c r="E92" s="77"/>
      <c r="F92" s="77"/>
      <c r="G92" s="77"/>
      <c r="H92" s="77"/>
      <c r="I92" s="78"/>
      <c r="J92" s="77"/>
      <c r="K92" s="77"/>
      <c r="L92" s="77"/>
      <c r="M92" s="78"/>
      <c r="N92" s="77"/>
      <c r="O92" s="77"/>
      <c r="P92" s="77"/>
      <c r="Q92" s="78"/>
      <c r="R92" s="77"/>
      <c r="S92" s="77"/>
      <c r="T92" s="77"/>
      <c r="U92" s="78"/>
      <c r="V92" s="77"/>
      <c r="W92" s="77"/>
      <c r="X92" s="77"/>
      <c r="Y92" s="78"/>
      <c r="Z92" s="77"/>
      <c r="AA92" s="77"/>
      <c r="AB92" s="77"/>
      <c r="AC92" s="77"/>
      <c r="AD92" s="79" t="str">
        <f t="shared" si="4"/>
        <v/>
      </c>
      <c r="AE92" s="80" t="str">
        <f t="shared" si="5"/>
        <v/>
      </c>
      <c r="AF92" s="81"/>
      <c r="AG92" s="77"/>
      <c r="AH92" s="81"/>
      <c r="AI92" s="77"/>
      <c r="AJ92" s="82" t="str">
        <f t="shared" si="6"/>
        <v/>
      </c>
      <c r="AK92" s="83" t="str">
        <f t="shared" si="7"/>
        <v/>
      </c>
    </row>
    <row r="93" spans="2:37" ht="21" x14ac:dyDescent="0.35">
      <c r="B93" s="77"/>
      <c r="C93" s="77"/>
      <c r="D93" s="77"/>
      <c r="E93" s="77"/>
      <c r="F93" s="77"/>
      <c r="G93" s="77"/>
      <c r="H93" s="77"/>
      <c r="I93" s="78"/>
      <c r="J93" s="77"/>
      <c r="K93" s="77"/>
      <c r="L93" s="77"/>
      <c r="M93" s="78"/>
      <c r="N93" s="77"/>
      <c r="O93" s="77"/>
      <c r="P93" s="77"/>
      <c r="Q93" s="78"/>
      <c r="R93" s="77"/>
      <c r="S93" s="77"/>
      <c r="T93" s="77"/>
      <c r="U93" s="78"/>
      <c r="V93" s="77"/>
      <c r="W93" s="77"/>
      <c r="X93" s="77"/>
      <c r="Y93" s="78"/>
      <c r="Z93" s="77"/>
      <c r="AA93" s="77"/>
      <c r="AB93" s="77"/>
      <c r="AC93" s="77"/>
      <c r="AD93" s="79" t="str">
        <f t="shared" si="4"/>
        <v/>
      </c>
      <c r="AE93" s="80" t="str">
        <f t="shared" si="5"/>
        <v/>
      </c>
      <c r="AF93" s="81"/>
      <c r="AG93" s="77"/>
      <c r="AH93" s="81"/>
      <c r="AI93" s="77"/>
      <c r="AJ93" s="82" t="str">
        <f t="shared" si="6"/>
        <v/>
      </c>
      <c r="AK93" s="83" t="str">
        <f t="shared" si="7"/>
        <v/>
      </c>
    </row>
    <row r="94" spans="2:37" ht="21" x14ac:dyDescent="0.35">
      <c r="B94" s="77"/>
      <c r="C94" s="77"/>
      <c r="D94" s="77"/>
      <c r="E94" s="77"/>
      <c r="F94" s="77"/>
      <c r="G94" s="77"/>
      <c r="H94" s="77"/>
      <c r="I94" s="78"/>
      <c r="J94" s="77"/>
      <c r="K94" s="77"/>
      <c r="L94" s="77"/>
      <c r="M94" s="78"/>
      <c r="N94" s="77"/>
      <c r="O94" s="77"/>
      <c r="P94" s="77"/>
      <c r="Q94" s="78"/>
      <c r="R94" s="77"/>
      <c r="S94" s="77"/>
      <c r="T94" s="77"/>
      <c r="U94" s="78"/>
      <c r="V94" s="77"/>
      <c r="W94" s="77"/>
      <c r="X94" s="77"/>
      <c r="Y94" s="78"/>
      <c r="Z94" s="77"/>
      <c r="AA94" s="77"/>
      <c r="AB94" s="77"/>
      <c r="AC94" s="77"/>
      <c r="AD94" s="79" t="str">
        <f t="shared" si="4"/>
        <v/>
      </c>
      <c r="AE94" s="80" t="str">
        <f t="shared" si="5"/>
        <v/>
      </c>
      <c r="AF94" s="81"/>
      <c r="AG94" s="77"/>
      <c r="AH94" s="81"/>
      <c r="AI94" s="77"/>
      <c r="AJ94" s="82" t="str">
        <f t="shared" si="6"/>
        <v/>
      </c>
      <c r="AK94" s="83" t="str">
        <f t="shared" si="7"/>
        <v/>
      </c>
    </row>
    <row r="95" spans="2:37" ht="21" x14ac:dyDescent="0.35">
      <c r="B95" s="77"/>
      <c r="C95" s="77"/>
      <c r="D95" s="77"/>
      <c r="E95" s="77"/>
      <c r="F95" s="77"/>
      <c r="G95" s="77"/>
      <c r="H95" s="77"/>
      <c r="I95" s="78"/>
      <c r="J95" s="77"/>
      <c r="K95" s="77"/>
      <c r="L95" s="77"/>
      <c r="M95" s="78"/>
      <c r="N95" s="77"/>
      <c r="O95" s="77"/>
      <c r="P95" s="77"/>
      <c r="Q95" s="78"/>
      <c r="R95" s="77"/>
      <c r="S95" s="77"/>
      <c r="T95" s="77"/>
      <c r="U95" s="78"/>
      <c r="V95" s="77"/>
      <c r="W95" s="77"/>
      <c r="X95" s="77"/>
      <c r="Y95" s="78"/>
      <c r="Z95" s="77"/>
      <c r="AA95" s="77"/>
      <c r="AB95" s="77"/>
      <c r="AC95" s="77"/>
      <c r="AD95" s="79" t="str">
        <f t="shared" si="4"/>
        <v/>
      </c>
      <c r="AE95" s="80" t="str">
        <f t="shared" si="5"/>
        <v/>
      </c>
      <c r="AF95" s="81"/>
      <c r="AG95" s="77"/>
      <c r="AH95" s="81"/>
      <c r="AI95" s="77"/>
      <c r="AJ95" s="82" t="str">
        <f t="shared" si="6"/>
        <v/>
      </c>
      <c r="AK95" s="83" t="str">
        <f t="shared" si="7"/>
        <v/>
      </c>
    </row>
    <row r="96" spans="2:37" ht="21" x14ac:dyDescent="0.35">
      <c r="B96" s="77"/>
      <c r="C96" s="77"/>
      <c r="D96" s="77"/>
      <c r="E96" s="77"/>
      <c r="F96" s="77"/>
      <c r="G96" s="77"/>
      <c r="H96" s="77"/>
      <c r="I96" s="78"/>
      <c r="J96" s="77"/>
      <c r="K96" s="77"/>
      <c r="L96" s="77"/>
      <c r="M96" s="78"/>
      <c r="N96" s="77"/>
      <c r="O96" s="77"/>
      <c r="P96" s="77"/>
      <c r="Q96" s="78"/>
      <c r="R96" s="77"/>
      <c r="S96" s="77"/>
      <c r="T96" s="77"/>
      <c r="U96" s="78"/>
      <c r="V96" s="77"/>
      <c r="W96" s="77"/>
      <c r="X96" s="77"/>
      <c r="Y96" s="78"/>
      <c r="Z96" s="77"/>
      <c r="AA96" s="77"/>
      <c r="AB96" s="77"/>
      <c r="AC96" s="77"/>
      <c r="AD96" s="79" t="str">
        <f t="shared" si="4"/>
        <v/>
      </c>
      <c r="AE96" s="80" t="str">
        <f t="shared" si="5"/>
        <v/>
      </c>
      <c r="AF96" s="81"/>
      <c r="AG96" s="77"/>
      <c r="AH96" s="81"/>
      <c r="AI96" s="77"/>
      <c r="AJ96" s="82" t="str">
        <f t="shared" si="6"/>
        <v/>
      </c>
      <c r="AK96" s="83" t="str">
        <f t="shared" si="7"/>
        <v/>
      </c>
    </row>
    <row r="97" spans="2:37" ht="21" x14ac:dyDescent="0.35">
      <c r="B97" s="77"/>
      <c r="C97" s="77"/>
      <c r="D97" s="77"/>
      <c r="E97" s="77"/>
      <c r="F97" s="77"/>
      <c r="G97" s="77"/>
      <c r="H97" s="77"/>
      <c r="I97" s="78"/>
      <c r="J97" s="77"/>
      <c r="K97" s="77"/>
      <c r="L97" s="77"/>
      <c r="M97" s="78"/>
      <c r="N97" s="77"/>
      <c r="O97" s="77"/>
      <c r="P97" s="77"/>
      <c r="Q97" s="78"/>
      <c r="R97" s="77"/>
      <c r="S97" s="77"/>
      <c r="T97" s="77"/>
      <c r="U97" s="78"/>
      <c r="V97" s="77"/>
      <c r="W97" s="77"/>
      <c r="X97" s="77"/>
      <c r="Y97" s="78"/>
      <c r="Z97" s="77"/>
      <c r="AA97" s="77"/>
      <c r="AB97" s="77"/>
      <c r="AC97" s="77"/>
      <c r="AD97" s="79" t="str">
        <f t="shared" si="4"/>
        <v/>
      </c>
      <c r="AE97" s="80" t="str">
        <f t="shared" si="5"/>
        <v/>
      </c>
      <c r="AF97" s="81"/>
      <c r="AG97" s="77"/>
      <c r="AH97" s="81"/>
      <c r="AI97" s="77"/>
      <c r="AJ97" s="82" t="str">
        <f t="shared" si="6"/>
        <v/>
      </c>
      <c r="AK97" s="83" t="str">
        <f t="shared" si="7"/>
        <v/>
      </c>
    </row>
    <row r="98" spans="2:37" ht="21" x14ac:dyDescent="0.35">
      <c r="B98" s="77"/>
      <c r="C98" s="77"/>
      <c r="D98" s="77"/>
      <c r="E98" s="77"/>
      <c r="F98" s="77"/>
      <c r="G98" s="77"/>
      <c r="H98" s="77"/>
      <c r="I98" s="78"/>
      <c r="J98" s="77"/>
      <c r="K98" s="77"/>
      <c r="L98" s="77"/>
      <c r="M98" s="78"/>
      <c r="N98" s="77"/>
      <c r="O98" s="77"/>
      <c r="P98" s="77"/>
      <c r="Q98" s="78"/>
      <c r="R98" s="77"/>
      <c r="S98" s="77"/>
      <c r="T98" s="77"/>
      <c r="U98" s="78"/>
      <c r="V98" s="77"/>
      <c r="W98" s="77"/>
      <c r="X98" s="77"/>
      <c r="Y98" s="78"/>
      <c r="Z98" s="77"/>
      <c r="AA98" s="77"/>
      <c r="AB98" s="77"/>
      <c r="AC98" s="77"/>
      <c r="AD98" s="79" t="str">
        <f t="shared" si="4"/>
        <v/>
      </c>
      <c r="AE98" s="80" t="str">
        <f t="shared" si="5"/>
        <v/>
      </c>
      <c r="AF98" s="81"/>
      <c r="AG98" s="77"/>
      <c r="AH98" s="81"/>
      <c r="AI98" s="77"/>
      <c r="AJ98" s="82" t="str">
        <f t="shared" si="6"/>
        <v/>
      </c>
      <c r="AK98" s="83" t="str">
        <f t="shared" si="7"/>
        <v/>
      </c>
    </row>
    <row r="99" spans="2:37" ht="21" x14ac:dyDescent="0.35">
      <c r="B99" s="77"/>
      <c r="C99" s="77"/>
      <c r="D99" s="77"/>
      <c r="E99" s="77"/>
      <c r="F99" s="77"/>
      <c r="G99" s="77"/>
      <c r="H99" s="77"/>
      <c r="I99" s="78"/>
      <c r="J99" s="77"/>
      <c r="K99" s="77"/>
      <c r="L99" s="77"/>
      <c r="M99" s="78"/>
      <c r="N99" s="77"/>
      <c r="O99" s="77"/>
      <c r="P99" s="77"/>
      <c r="Q99" s="78"/>
      <c r="R99" s="77"/>
      <c r="S99" s="77"/>
      <c r="T99" s="77"/>
      <c r="U99" s="78"/>
      <c r="V99" s="77"/>
      <c r="W99" s="77"/>
      <c r="X99" s="77"/>
      <c r="Y99" s="78"/>
      <c r="Z99" s="77"/>
      <c r="AA99" s="77"/>
      <c r="AB99" s="77"/>
      <c r="AC99" s="77"/>
      <c r="AD99" s="79" t="str">
        <f t="shared" si="4"/>
        <v/>
      </c>
      <c r="AE99" s="80" t="str">
        <f t="shared" si="5"/>
        <v/>
      </c>
      <c r="AF99" s="81"/>
      <c r="AG99" s="77"/>
      <c r="AH99" s="81"/>
      <c r="AI99" s="77"/>
      <c r="AJ99" s="82" t="str">
        <f t="shared" si="6"/>
        <v/>
      </c>
      <c r="AK99" s="83" t="str">
        <f t="shared" si="7"/>
        <v/>
      </c>
    </row>
    <row r="100" spans="2:37" ht="21" x14ac:dyDescent="0.35">
      <c r="B100" s="77"/>
      <c r="C100" s="77"/>
      <c r="D100" s="77"/>
      <c r="E100" s="77"/>
      <c r="F100" s="77"/>
      <c r="G100" s="77"/>
      <c r="H100" s="77"/>
      <c r="I100" s="78"/>
      <c r="J100" s="77"/>
      <c r="K100" s="77"/>
      <c r="L100" s="77"/>
      <c r="M100" s="78"/>
      <c r="N100" s="77"/>
      <c r="O100" s="77"/>
      <c r="P100" s="77"/>
      <c r="Q100" s="78"/>
      <c r="R100" s="77"/>
      <c r="S100" s="77"/>
      <c r="T100" s="77"/>
      <c r="U100" s="78"/>
      <c r="V100" s="77"/>
      <c r="W100" s="77"/>
      <c r="X100" s="77"/>
      <c r="Y100" s="78"/>
      <c r="Z100" s="77"/>
      <c r="AA100" s="77"/>
      <c r="AB100" s="77"/>
      <c r="AC100" s="77"/>
      <c r="AD100" s="79" t="str">
        <f t="shared" si="4"/>
        <v/>
      </c>
      <c r="AE100" s="80" t="str">
        <f t="shared" si="5"/>
        <v/>
      </c>
      <c r="AF100" s="81"/>
      <c r="AG100" s="77"/>
      <c r="AH100" s="81"/>
      <c r="AI100" s="77"/>
      <c r="AJ100" s="82" t="str">
        <f t="shared" si="6"/>
        <v/>
      </c>
      <c r="AK100" s="83" t="str">
        <f t="shared" si="7"/>
        <v/>
      </c>
    </row>
    <row r="101" spans="2:37" ht="21" x14ac:dyDescent="0.35">
      <c r="B101" s="77"/>
      <c r="C101" s="77"/>
      <c r="D101" s="77"/>
      <c r="E101" s="77"/>
      <c r="F101" s="77"/>
      <c r="G101" s="77"/>
      <c r="H101" s="77"/>
      <c r="I101" s="78"/>
      <c r="J101" s="77"/>
      <c r="K101" s="77"/>
      <c r="L101" s="77"/>
      <c r="M101" s="78"/>
      <c r="N101" s="77"/>
      <c r="O101" s="77"/>
      <c r="P101" s="77"/>
      <c r="Q101" s="78"/>
      <c r="R101" s="77"/>
      <c r="S101" s="77"/>
      <c r="T101" s="77"/>
      <c r="U101" s="78"/>
      <c r="V101" s="77"/>
      <c r="W101" s="77"/>
      <c r="X101" s="77"/>
      <c r="Y101" s="78"/>
      <c r="Z101" s="77"/>
      <c r="AA101" s="77"/>
      <c r="AB101" s="77"/>
      <c r="AC101" s="77"/>
      <c r="AD101" s="79" t="str">
        <f t="shared" si="4"/>
        <v/>
      </c>
      <c r="AE101" s="80" t="str">
        <f t="shared" si="5"/>
        <v/>
      </c>
      <c r="AF101" s="81"/>
      <c r="AG101" s="77"/>
      <c r="AH101" s="81"/>
      <c r="AI101" s="77"/>
      <c r="AJ101" s="82" t="str">
        <f t="shared" si="6"/>
        <v/>
      </c>
      <c r="AK101" s="83" t="str">
        <f t="shared" si="7"/>
        <v/>
      </c>
    </row>
    <row r="102" spans="2:37" ht="21" x14ac:dyDescent="0.35">
      <c r="B102" s="77"/>
      <c r="C102" s="77"/>
      <c r="D102" s="77"/>
      <c r="E102" s="77"/>
      <c r="F102" s="77"/>
      <c r="G102" s="77"/>
      <c r="H102" s="77"/>
      <c r="I102" s="78"/>
      <c r="J102" s="77"/>
      <c r="K102" s="77"/>
      <c r="L102" s="77"/>
      <c r="M102" s="78"/>
      <c r="N102" s="77"/>
      <c r="O102" s="77"/>
      <c r="P102" s="77"/>
      <c r="Q102" s="78"/>
      <c r="R102" s="77"/>
      <c r="S102" s="77"/>
      <c r="T102" s="77"/>
      <c r="U102" s="78"/>
      <c r="V102" s="77"/>
      <c r="W102" s="77"/>
      <c r="X102" s="77"/>
      <c r="Y102" s="78"/>
      <c r="Z102" s="77"/>
      <c r="AA102" s="77"/>
      <c r="AB102" s="77"/>
      <c r="AC102" s="77"/>
      <c r="AD102" s="79" t="str">
        <f t="shared" si="4"/>
        <v/>
      </c>
      <c r="AE102" s="80" t="str">
        <f t="shared" si="5"/>
        <v/>
      </c>
      <c r="AF102" s="81"/>
      <c r="AG102" s="77"/>
      <c r="AH102" s="81"/>
      <c r="AI102" s="77"/>
      <c r="AJ102" s="82" t="str">
        <f t="shared" si="6"/>
        <v/>
      </c>
      <c r="AK102" s="83" t="str">
        <f t="shared" si="7"/>
        <v/>
      </c>
    </row>
    <row r="103" spans="2:37" ht="21" x14ac:dyDescent="0.35">
      <c r="B103" s="77"/>
      <c r="C103" s="77"/>
      <c r="D103" s="77"/>
      <c r="E103" s="77"/>
      <c r="F103" s="77"/>
      <c r="G103" s="77"/>
      <c r="H103" s="77"/>
      <c r="I103" s="78"/>
      <c r="J103" s="77"/>
      <c r="K103" s="77"/>
      <c r="L103" s="77"/>
      <c r="M103" s="78"/>
      <c r="N103" s="77"/>
      <c r="O103" s="77"/>
      <c r="P103" s="77"/>
      <c r="Q103" s="78"/>
      <c r="R103" s="77"/>
      <c r="S103" s="77"/>
      <c r="T103" s="77"/>
      <c r="U103" s="78"/>
      <c r="V103" s="77"/>
      <c r="W103" s="77"/>
      <c r="X103" s="77"/>
      <c r="Y103" s="78"/>
      <c r="Z103" s="77"/>
      <c r="AA103" s="77"/>
      <c r="AB103" s="77"/>
      <c r="AC103" s="77"/>
      <c r="AD103" s="79" t="str">
        <f t="shared" si="4"/>
        <v/>
      </c>
      <c r="AE103" s="80" t="str">
        <f t="shared" si="5"/>
        <v/>
      </c>
      <c r="AF103" s="81"/>
      <c r="AG103" s="77"/>
      <c r="AH103" s="81"/>
      <c r="AI103" s="77"/>
      <c r="AJ103" s="82" t="str">
        <f t="shared" si="6"/>
        <v/>
      </c>
      <c r="AK103" s="83" t="str">
        <f t="shared" si="7"/>
        <v/>
      </c>
    </row>
    <row r="104" spans="2:37" ht="21" x14ac:dyDescent="0.35">
      <c r="B104" s="77"/>
      <c r="C104" s="77"/>
      <c r="D104" s="77"/>
      <c r="E104" s="77"/>
      <c r="F104" s="77"/>
      <c r="G104" s="77"/>
      <c r="H104" s="77"/>
      <c r="I104" s="78"/>
      <c r="J104" s="77"/>
      <c r="K104" s="77"/>
      <c r="L104" s="77"/>
      <c r="M104" s="78"/>
      <c r="N104" s="77"/>
      <c r="O104" s="77"/>
      <c r="P104" s="77"/>
      <c r="Q104" s="78"/>
      <c r="R104" s="77"/>
      <c r="S104" s="77"/>
      <c r="T104" s="77"/>
      <c r="U104" s="78"/>
      <c r="V104" s="77"/>
      <c r="W104" s="77"/>
      <c r="X104" s="77"/>
      <c r="Y104" s="78"/>
      <c r="Z104" s="77"/>
      <c r="AA104" s="77"/>
      <c r="AB104" s="77"/>
      <c r="AC104" s="77"/>
      <c r="AD104" s="79" t="str">
        <f t="shared" si="4"/>
        <v/>
      </c>
      <c r="AE104" s="80" t="str">
        <f t="shared" si="5"/>
        <v/>
      </c>
      <c r="AF104" s="81"/>
      <c r="AG104" s="77"/>
      <c r="AH104" s="81"/>
      <c r="AI104" s="77"/>
      <c r="AJ104" s="82" t="str">
        <f t="shared" si="6"/>
        <v/>
      </c>
      <c r="AK104" s="83" t="str">
        <f t="shared" si="7"/>
        <v/>
      </c>
    </row>
    <row r="105" spans="2:37" ht="21" x14ac:dyDescent="0.35">
      <c r="B105" s="77"/>
      <c r="C105" s="77"/>
      <c r="D105" s="77"/>
      <c r="E105" s="77"/>
      <c r="F105" s="77"/>
      <c r="G105" s="77"/>
      <c r="H105" s="77"/>
      <c r="I105" s="78"/>
      <c r="J105" s="77"/>
      <c r="K105" s="77"/>
      <c r="L105" s="77"/>
      <c r="M105" s="78"/>
      <c r="N105" s="77"/>
      <c r="O105" s="77"/>
      <c r="P105" s="77"/>
      <c r="Q105" s="78"/>
      <c r="R105" s="77"/>
      <c r="S105" s="77"/>
      <c r="T105" s="77"/>
      <c r="U105" s="78"/>
      <c r="V105" s="77"/>
      <c r="W105" s="77"/>
      <c r="X105" s="77"/>
      <c r="Y105" s="78"/>
      <c r="Z105" s="77"/>
      <c r="AA105" s="77"/>
      <c r="AB105" s="77"/>
      <c r="AC105" s="77"/>
      <c r="AD105" s="79" t="str">
        <f t="shared" si="4"/>
        <v/>
      </c>
      <c r="AE105" s="80" t="str">
        <f t="shared" si="5"/>
        <v/>
      </c>
      <c r="AF105" s="81"/>
      <c r="AG105" s="77"/>
      <c r="AH105" s="81"/>
      <c r="AI105" s="77"/>
      <c r="AJ105" s="82" t="str">
        <f t="shared" si="6"/>
        <v/>
      </c>
      <c r="AK105" s="83" t="str">
        <f t="shared" si="7"/>
        <v/>
      </c>
    </row>
    <row r="106" spans="2:37" ht="21" x14ac:dyDescent="0.35">
      <c r="B106" s="77"/>
      <c r="C106" s="77"/>
      <c r="D106" s="77"/>
      <c r="E106" s="77"/>
      <c r="F106" s="77"/>
      <c r="G106" s="77"/>
      <c r="H106" s="77"/>
      <c r="I106" s="78"/>
      <c r="J106" s="77"/>
      <c r="K106" s="77"/>
      <c r="L106" s="77"/>
      <c r="M106" s="78"/>
      <c r="N106" s="77"/>
      <c r="O106" s="77"/>
      <c r="P106" s="77"/>
      <c r="Q106" s="78"/>
      <c r="R106" s="77"/>
      <c r="S106" s="77"/>
      <c r="T106" s="77"/>
      <c r="U106" s="78"/>
      <c r="V106" s="77"/>
      <c r="W106" s="77"/>
      <c r="X106" s="77"/>
      <c r="Y106" s="78"/>
      <c r="Z106" s="77"/>
      <c r="AA106" s="77"/>
      <c r="AB106" s="77"/>
      <c r="AC106" s="77"/>
      <c r="AD106" s="79" t="str">
        <f t="shared" si="4"/>
        <v/>
      </c>
      <c r="AE106" s="80" t="str">
        <f t="shared" si="5"/>
        <v/>
      </c>
      <c r="AF106" s="81"/>
      <c r="AG106" s="77"/>
      <c r="AH106" s="81"/>
      <c r="AI106" s="77"/>
      <c r="AJ106" s="82" t="str">
        <f t="shared" si="6"/>
        <v/>
      </c>
      <c r="AK106" s="83" t="str">
        <f t="shared" si="7"/>
        <v/>
      </c>
    </row>
    <row r="107" spans="2:37" ht="21" x14ac:dyDescent="0.35">
      <c r="B107" s="77"/>
      <c r="C107" s="77"/>
      <c r="D107" s="77"/>
      <c r="E107" s="77"/>
      <c r="F107" s="77"/>
      <c r="G107" s="77"/>
      <c r="H107" s="77"/>
      <c r="I107" s="78"/>
      <c r="J107" s="77"/>
      <c r="K107" s="77"/>
      <c r="L107" s="77"/>
      <c r="M107" s="78"/>
      <c r="N107" s="77"/>
      <c r="O107" s="77"/>
      <c r="P107" s="77"/>
      <c r="Q107" s="78"/>
      <c r="R107" s="77"/>
      <c r="S107" s="77"/>
      <c r="T107" s="77"/>
      <c r="U107" s="78"/>
      <c r="V107" s="77"/>
      <c r="W107" s="77"/>
      <c r="X107" s="77"/>
      <c r="Y107" s="78"/>
      <c r="Z107" s="77"/>
      <c r="AA107" s="77"/>
      <c r="AB107" s="77"/>
      <c r="AC107" s="77"/>
      <c r="AD107" s="79" t="str">
        <f t="shared" si="4"/>
        <v/>
      </c>
      <c r="AE107" s="80" t="str">
        <f t="shared" si="5"/>
        <v/>
      </c>
      <c r="AF107" s="81"/>
      <c r="AG107" s="77"/>
      <c r="AH107" s="81"/>
      <c r="AI107" s="77"/>
      <c r="AJ107" s="82" t="str">
        <f t="shared" si="6"/>
        <v/>
      </c>
      <c r="AK107" s="83" t="str">
        <f t="shared" si="7"/>
        <v/>
      </c>
    </row>
    <row r="108" spans="2:37" ht="21" x14ac:dyDescent="0.35">
      <c r="B108" s="77"/>
      <c r="C108" s="77"/>
      <c r="D108" s="77"/>
      <c r="E108" s="77"/>
      <c r="F108" s="77"/>
      <c r="G108" s="77"/>
      <c r="H108" s="77"/>
      <c r="I108" s="78"/>
      <c r="J108" s="77"/>
      <c r="K108" s="77"/>
      <c r="L108" s="77"/>
      <c r="M108" s="78"/>
      <c r="N108" s="77"/>
      <c r="O108" s="77"/>
      <c r="P108" s="77"/>
      <c r="Q108" s="78"/>
      <c r="R108" s="77"/>
      <c r="S108" s="77"/>
      <c r="T108" s="77"/>
      <c r="U108" s="78"/>
      <c r="V108" s="77"/>
      <c r="W108" s="77"/>
      <c r="X108" s="77"/>
      <c r="Y108" s="78"/>
      <c r="Z108" s="77"/>
      <c r="AA108" s="77"/>
      <c r="AB108" s="77"/>
      <c r="AC108" s="77"/>
      <c r="AD108" s="79" t="str">
        <f t="shared" si="4"/>
        <v/>
      </c>
      <c r="AE108" s="80" t="str">
        <f t="shared" si="5"/>
        <v/>
      </c>
      <c r="AF108" s="81"/>
      <c r="AG108" s="77"/>
      <c r="AH108" s="81"/>
      <c r="AI108" s="77"/>
      <c r="AJ108" s="82" t="str">
        <f t="shared" si="6"/>
        <v/>
      </c>
      <c r="AK108" s="83" t="str">
        <f t="shared" si="7"/>
        <v/>
      </c>
    </row>
    <row r="109" spans="2:37" ht="21" x14ac:dyDescent="0.35">
      <c r="B109" s="77"/>
      <c r="C109" s="77"/>
      <c r="D109" s="77"/>
      <c r="E109" s="77"/>
      <c r="F109" s="77"/>
      <c r="G109" s="77"/>
      <c r="H109" s="77"/>
      <c r="I109" s="78"/>
      <c r="J109" s="77"/>
      <c r="K109" s="77"/>
      <c r="L109" s="77"/>
      <c r="M109" s="78"/>
      <c r="N109" s="77"/>
      <c r="O109" s="77"/>
      <c r="P109" s="77"/>
      <c r="Q109" s="78"/>
      <c r="R109" s="77"/>
      <c r="S109" s="77"/>
      <c r="T109" s="77"/>
      <c r="U109" s="78"/>
      <c r="V109" s="77"/>
      <c r="W109" s="77"/>
      <c r="X109" s="77"/>
      <c r="Y109" s="78"/>
      <c r="Z109" s="77"/>
      <c r="AA109" s="77"/>
      <c r="AB109" s="77"/>
      <c r="AC109" s="77"/>
      <c r="AD109" s="79" t="str">
        <f t="shared" si="4"/>
        <v/>
      </c>
      <c r="AE109" s="80" t="str">
        <f t="shared" si="5"/>
        <v/>
      </c>
      <c r="AF109" s="81"/>
      <c r="AG109" s="77"/>
      <c r="AH109" s="81"/>
      <c r="AI109" s="77"/>
      <c r="AJ109" s="82" t="str">
        <f t="shared" si="6"/>
        <v/>
      </c>
      <c r="AK109" s="83" t="str">
        <f t="shared" si="7"/>
        <v/>
      </c>
    </row>
    <row r="110" spans="2:37" ht="21" x14ac:dyDescent="0.35">
      <c r="B110" s="77"/>
      <c r="C110" s="77"/>
      <c r="D110" s="77"/>
      <c r="E110" s="77"/>
      <c r="F110" s="77"/>
      <c r="G110" s="77"/>
      <c r="H110" s="77"/>
      <c r="I110" s="78"/>
      <c r="J110" s="77"/>
      <c r="K110" s="77"/>
      <c r="L110" s="77"/>
      <c r="M110" s="78"/>
      <c r="N110" s="77"/>
      <c r="O110" s="77"/>
      <c r="P110" s="77"/>
      <c r="Q110" s="78"/>
      <c r="R110" s="77"/>
      <c r="S110" s="77"/>
      <c r="T110" s="77"/>
      <c r="U110" s="78"/>
      <c r="V110" s="77"/>
      <c r="W110" s="77"/>
      <c r="X110" s="77"/>
      <c r="Y110" s="78"/>
      <c r="Z110" s="77"/>
      <c r="AA110" s="77"/>
      <c r="AB110" s="77"/>
      <c r="AC110" s="77"/>
      <c r="AD110" s="79" t="str">
        <f t="shared" si="4"/>
        <v/>
      </c>
      <c r="AE110" s="80" t="str">
        <f t="shared" si="5"/>
        <v/>
      </c>
      <c r="AF110" s="81"/>
      <c r="AG110" s="77"/>
      <c r="AH110" s="81"/>
      <c r="AI110" s="77"/>
      <c r="AJ110" s="82" t="str">
        <f t="shared" si="6"/>
        <v/>
      </c>
      <c r="AK110" s="83" t="str">
        <f t="shared" si="7"/>
        <v/>
      </c>
    </row>
    <row r="111" spans="2:37" ht="21" x14ac:dyDescent="0.35">
      <c r="B111" s="77"/>
      <c r="C111" s="77"/>
      <c r="D111" s="77"/>
      <c r="E111" s="77"/>
      <c r="F111" s="77"/>
      <c r="G111" s="77"/>
      <c r="H111" s="77"/>
      <c r="I111" s="78"/>
      <c r="J111" s="77"/>
      <c r="K111" s="77"/>
      <c r="L111" s="77"/>
      <c r="M111" s="78"/>
      <c r="N111" s="77"/>
      <c r="O111" s="77"/>
      <c r="P111" s="77"/>
      <c r="Q111" s="78"/>
      <c r="R111" s="77"/>
      <c r="S111" s="77"/>
      <c r="T111" s="77"/>
      <c r="U111" s="78"/>
      <c r="V111" s="77"/>
      <c r="W111" s="77"/>
      <c r="X111" s="77"/>
      <c r="Y111" s="78"/>
      <c r="Z111" s="77"/>
      <c r="AA111" s="77"/>
      <c r="AB111" s="77"/>
      <c r="AC111" s="77"/>
      <c r="AD111" s="79" t="str">
        <f t="shared" si="4"/>
        <v/>
      </c>
      <c r="AE111" s="80" t="str">
        <f t="shared" si="5"/>
        <v/>
      </c>
      <c r="AF111" s="81"/>
      <c r="AG111" s="77"/>
      <c r="AH111" s="81"/>
      <c r="AI111" s="77"/>
      <c r="AJ111" s="82" t="str">
        <f t="shared" si="6"/>
        <v/>
      </c>
      <c r="AK111" s="83" t="str">
        <f t="shared" si="7"/>
        <v/>
      </c>
    </row>
    <row r="112" spans="2:37" ht="21" x14ac:dyDescent="0.35">
      <c r="B112" s="77"/>
      <c r="C112" s="77"/>
      <c r="D112" s="77"/>
      <c r="E112" s="77"/>
      <c r="F112" s="77"/>
      <c r="G112" s="77"/>
      <c r="H112" s="77"/>
      <c r="I112" s="78"/>
      <c r="J112" s="77"/>
      <c r="K112" s="77"/>
      <c r="L112" s="77"/>
      <c r="M112" s="78"/>
      <c r="N112" s="77"/>
      <c r="O112" s="77"/>
      <c r="P112" s="77"/>
      <c r="Q112" s="78"/>
      <c r="R112" s="77"/>
      <c r="S112" s="77"/>
      <c r="T112" s="77"/>
      <c r="U112" s="78"/>
      <c r="V112" s="77"/>
      <c r="W112" s="77"/>
      <c r="X112" s="77"/>
      <c r="Y112" s="78"/>
      <c r="Z112" s="77"/>
      <c r="AA112" s="77"/>
      <c r="AB112" s="77"/>
      <c r="AC112" s="77"/>
      <c r="AD112" s="79" t="str">
        <f t="shared" si="4"/>
        <v/>
      </c>
      <c r="AE112" s="80" t="str">
        <f t="shared" si="5"/>
        <v/>
      </c>
      <c r="AF112" s="81"/>
      <c r="AG112" s="77"/>
      <c r="AH112" s="81"/>
      <c r="AI112" s="77"/>
      <c r="AJ112" s="82" t="str">
        <f t="shared" si="6"/>
        <v/>
      </c>
      <c r="AK112" s="83" t="str">
        <f t="shared" si="7"/>
        <v/>
      </c>
    </row>
    <row r="113" spans="2:37" ht="21" x14ac:dyDescent="0.35">
      <c r="B113" s="77"/>
      <c r="C113" s="77"/>
      <c r="D113" s="77"/>
      <c r="E113" s="77"/>
      <c r="F113" s="77"/>
      <c r="G113" s="77"/>
      <c r="H113" s="77"/>
      <c r="I113" s="78"/>
      <c r="J113" s="77"/>
      <c r="K113" s="77"/>
      <c r="L113" s="77"/>
      <c r="M113" s="78"/>
      <c r="N113" s="77"/>
      <c r="O113" s="77"/>
      <c r="P113" s="77"/>
      <c r="Q113" s="78"/>
      <c r="R113" s="77"/>
      <c r="S113" s="77"/>
      <c r="T113" s="77"/>
      <c r="U113" s="78"/>
      <c r="V113" s="77"/>
      <c r="W113" s="77"/>
      <c r="X113" s="77"/>
      <c r="Y113" s="78"/>
      <c r="Z113" s="77"/>
      <c r="AA113" s="77"/>
      <c r="AB113" s="77"/>
      <c r="AC113" s="77"/>
      <c r="AD113" s="79" t="str">
        <f t="shared" si="4"/>
        <v/>
      </c>
      <c r="AE113" s="80" t="str">
        <f t="shared" si="5"/>
        <v/>
      </c>
      <c r="AF113" s="81"/>
      <c r="AG113" s="77"/>
      <c r="AH113" s="81"/>
      <c r="AI113" s="77"/>
      <c r="AJ113" s="82" t="str">
        <f t="shared" si="6"/>
        <v/>
      </c>
      <c r="AK113" s="83" t="str">
        <f t="shared" si="7"/>
        <v/>
      </c>
    </row>
    <row r="114" spans="2:37" ht="21" x14ac:dyDescent="0.35">
      <c r="B114" s="77"/>
      <c r="C114" s="77"/>
      <c r="D114" s="77"/>
      <c r="E114" s="77"/>
      <c r="F114" s="77"/>
      <c r="G114" s="77"/>
      <c r="H114" s="77"/>
      <c r="I114" s="78"/>
      <c r="J114" s="77"/>
      <c r="K114" s="77"/>
      <c r="L114" s="77"/>
      <c r="M114" s="78"/>
      <c r="N114" s="77"/>
      <c r="O114" s="77"/>
      <c r="P114" s="77"/>
      <c r="Q114" s="78"/>
      <c r="R114" s="77"/>
      <c r="S114" s="77"/>
      <c r="T114" s="77"/>
      <c r="U114" s="78"/>
      <c r="V114" s="77"/>
      <c r="W114" s="77"/>
      <c r="X114" s="77"/>
      <c r="Y114" s="78"/>
      <c r="Z114" s="77"/>
      <c r="AA114" s="77"/>
      <c r="AB114" s="77"/>
      <c r="AC114" s="77"/>
      <c r="AD114" s="79" t="str">
        <f t="shared" si="4"/>
        <v/>
      </c>
      <c r="AE114" s="80" t="str">
        <f t="shared" si="5"/>
        <v/>
      </c>
      <c r="AF114" s="81"/>
      <c r="AG114" s="77"/>
      <c r="AH114" s="81"/>
      <c r="AI114" s="77"/>
      <c r="AJ114" s="82" t="str">
        <f t="shared" si="6"/>
        <v/>
      </c>
      <c r="AK114" s="83" t="str">
        <f t="shared" si="7"/>
        <v/>
      </c>
    </row>
    <row r="115" spans="2:37" ht="21" x14ac:dyDescent="0.35">
      <c r="B115" s="77"/>
      <c r="C115" s="77"/>
      <c r="D115" s="77"/>
      <c r="E115" s="77"/>
      <c r="F115" s="77"/>
      <c r="G115" s="77"/>
      <c r="H115" s="77"/>
      <c r="I115" s="78"/>
      <c r="J115" s="77"/>
      <c r="K115" s="77"/>
      <c r="L115" s="77"/>
      <c r="M115" s="78"/>
      <c r="N115" s="77"/>
      <c r="O115" s="77"/>
      <c r="P115" s="77"/>
      <c r="Q115" s="78"/>
      <c r="R115" s="77"/>
      <c r="S115" s="77"/>
      <c r="T115" s="77"/>
      <c r="U115" s="78"/>
      <c r="V115" s="77"/>
      <c r="W115" s="77"/>
      <c r="X115" s="77"/>
      <c r="Y115" s="78"/>
      <c r="Z115" s="77"/>
      <c r="AA115" s="77"/>
      <c r="AB115" s="77"/>
      <c r="AC115" s="77"/>
      <c r="AD115" s="79" t="str">
        <f t="shared" si="4"/>
        <v/>
      </c>
      <c r="AE115" s="80" t="str">
        <f t="shared" si="5"/>
        <v/>
      </c>
      <c r="AF115" s="81"/>
      <c r="AG115" s="77"/>
      <c r="AH115" s="81"/>
      <c r="AI115" s="77"/>
      <c r="AJ115" s="82" t="str">
        <f t="shared" si="6"/>
        <v/>
      </c>
      <c r="AK115" s="83" t="str">
        <f t="shared" si="7"/>
        <v/>
      </c>
    </row>
    <row r="116" spans="2:37" ht="21" x14ac:dyDescent="0.35">
      <c r="B116" s="77"/>
      <c r="C116" s="77"/>
      <c r="D116" s="77"/>
      <c r="E116" s="77"/>
      <c r="F116" s="77"/>
      <c r="G116" s="77"/>
      <c r="H116" s="77"/>
      <c r="I116" s="78"/>
      <c r="J116" s="77"/>
      <c r="K116" s="77"/>
      <c r="L116" s="77"/>
      <c r="M116" s="78"/>
      <c r="N116" s="77"/>
      <c r="O116" s="77"/>
      <c r="P116" s="77"/>
      <c r="Q116" s="78"/>
      <c r="R116" s="77"/>
      <c r="S116" s="77"/>
      <c r="T116" s="77"/>
      <c r="U116" s="78"/>
      <c r="V116" s="77"/>
      <c r="W116" s="77"/>
      <c r="X116" s="77"/>
      <c r="Y116" s="78"/>
      <c r="Z116" s="77"/>
      <c r="AA116" s="77"/>
      <c r="AB116" s="77"/>
      <c r="AC116" s="77"/>
      <c r="AD116" s="79" t="str">
        <f t="shared" si="4"/>
        <v/>
      </c>
      <c r="AE116" s="80" t="str">
        <f t="shared" si="5"/>
        <v/>
      </c>
      <c r="AF116" s="81"/>
      <c r="AG116" s="77"/>
      <c r="AH116" s="81"/>
      <c r="AI116" s="77"/>
      <c r="AJ116" s="82" t="str">
        <f t="shared" si="6"/>
        <v/>
      </c>
      <c r="AK116" s="83" t="str">
        <f t="shared" si="7"/>
        <v/>
      </c>
    </row>
    <row r="117" spans="2:37" ht="21" x14ac:dyDescent="0.35">
      <c r="B117" s="77"/>
      <c r="C117" s="77"/>
      <c r="D117" s="77"/>
      <c r="E117" s="77"/>
      <c r="F117" s="77"/>
      <c r="G117" s="77"/>
      <c r="H117" s="77"/>
      <c r="I117" s="78"/>
      <c r="J117" s="77"/>
      <c r="K117" s="77"/>
      <c r="L117" s="77"/>
      <c r="M117" s="78"/>
      <c r="N117" s="77"/>
      <c r="O117" s="77"/>
      <c r="P117" s="77"/>
      <c r="Q117" s="78"/>
      <c r="R117" s="77"/>
      <c r="S117" s="77"/>
      <c r="T117" s="77"/>
      <c r="U117" s="78"/>
      <c r="V117" s="77"/>
      <c r="W117" s="77"/>
      <c r="X117" s="77"/>
      <c r="Y117" s="78"/>
      <c r="Z117" s="77"/>
      <c r="AA117" s="77"/>
      <c r="AB117" s="77"/>
      <c r="AC117" s="77"/>
      <c r="AD117" s="79" t="str">
        <f t="shared" si="4"/>
        <v/>
      </c>
      <c r="AE117" s="80" t="str">
        <f t="shared" si="5"/>
        <v/>
      </c>
      <c r="AF117" s="81"/>
      <c r="AG117" s="77"/>
      <c r="AH117" s="81"/>
      <c r="AI117" s="77"/>
      <c r="AJ117" s="82" t="str">
        <f t="shared" si="6"/>
        <v/>
      </c>
      <c r="AK117" s="83" t="str">
        <f t="shared" si="7"/>
        <v/>
      </c>
    </row>
    <row r="118" spans="2:37" ht="21" x14ac:dyDescent="0.35">
      <c r="B118" s="77"/>
      <c r="C118" s="77"/>
      <c r="D118" s="77"/>
      <c r="E118" s="77"/>
      <c r="F118" s="77"/>
      <c r="G118" s="77"/>
      <c r="H118" s="77"/>
      <c r="I118" s="78"/>
      <c r="J118" s="77"/>
      <c r="K118" s="77"/>
      <c r="L118" s="77"/>
      <c r="M118" s="78"/>
      <c r="N118" s="77"/>
      <c r="O118" s="77"/>
      <c r="P118" s="77"/>
      <c r="Q118" s="78"/>
      <c r="R118" s="77"/>
      <c r="S118" s="77"/>
      <c r="T118" s="77"/>
      <c r="U118" s="78"/>
      <c r="V118" s="77"/>
      <c r="W118" s="77"/>
      <c r="X118" s="77"/>
      <c r="Y118" s="78"/>
      <c r="Z118" s="77"/>
      <c r="AA118" s="77"/>
      <c r="AB118" s="77"/>
      <c r="AC118" s="77"/>
      <c r="AD118" s="79" t="str">
        <f t="shared" si="4"/>
        <v/>
      </c>
      <c r="AE118" s="80" t="str">
        <f t="shared" si="5"/>
        <v/>
      </c>
      <c r="AF118" s="81"/>
      <c r="AG118" s="77"/>
      <c r="AH118" s="81"/>
      <c r="AI118" s="77"/>
      <c r="AJ118" s="82" t="str">
        <f t="shared" si="6"/>
        <v/>
      </c>
      <c r="AK118" s="83" t="str">
        <f t="shared" si="7"/>
        <v/>
      </c>
    </row>
    <row r="119" spans="2:37" ht="21" x14ac:dyDescent="0.35">
      <c r="B119" s="77"/>
      <c r="C119" s="77"/>
      <c r="D119" s="77"/>
      <c r="E119" s="77"/>
      <c r="F119" s="77"/>
      <c r="G119" s="77"/>
      <c r="H119" s="77"/>
      <c r="I119" s="78"/>
      <c r="J119" s="77"/>
      <c r="K119" s="77"/>
      <c r="L119" s="77"/>
      <c r="M119" s="78"/>
      <c r="N119" s="77"/>
      <c r="O119" s="77"/>
      <c r="P119" s="77"/>
      <c r="Q119" s="78"/>
      <c r="R119" s="77"/>
      <c r="S119" s="77"/>
      <c r="T119" s="77"/>
      <c r="U119" s="78"/>
      <c r="V119" s="77"/>
      <c r="W119" s="77"/>
      <c r="X119" s="77"/>
      <c r="Y119" s="78"/>
      <c r="Z119" s="77"/>
      <c r="AA119" s="77"/>
      <c r="AB119" s="77"/>
      <c r="AC119" s="77"/>
      <c r="AD119" s="79" t="str">
        <f t="shared" si="4"/>
        <v/>
      </c>
      <c r="AE119" s="80" t="str">
        <f t="shared" si="5"/>
        <v/>
      </c>
      <c r="AF119" s="81"/>
      <c r="AG119" s="77"/>
      <c r="AH119" s="81"/>
      <c r="AI119" s="77"/>
      <c r="AJ119" s="82" t="str">
        <f t="shared" si="6"/>
        <v/>
      </c>
      <c r="AK119" s="83" t="str">
        <f t="shared" si="7"/>
        <v/>
      </c>
    </row>
    <row r="120" spans="2:37" ht="21" x14ac:dyDescent="0.35">
      <c r="B120" s="77"/>
      <c r="C120" s="77"/>
      <c r="D120" s="77"/>
      <c r="E120" s="77"/>
      <c r="F120" s="77"/>
      <c r="G120" s="77"/>
      <c r="H120" s="77"/>
      <c r="I120" s="78"/>
      <c r="J120" s="77"/>
      <c r="K120" s="77"/>
      <c r="L120" s="77"/>
      <c r="M120" s="78"/>
      <c r="N120" s="77"/>
      <c r="O120" s="77"/>
      <c r="P120" s="77"/>
      <c r="Q120" s="78"/>
      <c r="R120" s="77"/>
      <c r="S120" s="77"/>
      <c r="T120" s="77"/>
      <c r="U120" s="78"/>
      <c r="V120" s="77"/>
      <c r="W120" s="77"/>
      <c r="X120" s="77"/>
      <c r="Y120" s="78"/>
      <c r="Z120" s="77"/>
      <c r="AA120" s="77"/>
      <c r="AB120" s="77"/>
      <c r="AC120" s="77"/>
      <c r="AD120" s="79" t="str">
        <f t="shared" si="4"/>
        <v/>
      </c>
      <c r="AE120" s="80" t="str">
        <f t="shared" si="5"/>
        <v/>
      </c>
      <c r="AF120" s="81"/>
      <c r="AG120" s="77"/>
      <c r="AH120" s="81"/>
      <c r="AI120" s="77"/>
      <c r="AJ120" s="82" t="str">
        <f t="shared" si="6"/>
        <v/>
      </c>
      <c r="AK120" s="83" t="str">
        <f t="shared" si="7"/>
        <v/>
      </c>
    </row>
    <row r="121" spans="2:37" ht="21" x14ac:dyDescent="0.35">
      <c r="B121" s="77"/>
      <c r="C121" s="77"/>
      <c r="D121" s="77"/>
      <c r="E121" s="77"/>
      <c r="F121" s="77"/>
      <c r="G121" s="77"/>
      <c r="H121" s="77"/>
      <c r="I121" s="78"/>
      <c r="J121" s="77"/>
      <c r="K121" s="77"/>
      <c r="L121" s="77"/>
      <c r="M121" s="78"/>
      <c r="N121" s="77"/>
      <c r="O121" s="77"/>
      <c r="P121" s="77"/>
      <c r="Q121" s="78"/>
      <c r="R121" s="77"/>
      <c r="S121" s="77"/>
      <c r="T121" s="77"/>
      <c r="U121" s="78"/>
      <c r="V121" s="77"/>
      <c r="W121" s="77"/>
      <c r="X121" s="77"/>
      <c r="Y121" s="78"/>
      <c r="Z121" s="77"/>
      <c r="AA121" s="77"/>
      <c r="AB121" s="77"/>
      <c r="AC121" s="77"/>
      <c r="AD121" s="79" t="str">
        <f t="shared" si="4"/>
        <v/>
      </c>
      <c r="AE121" s="80" t="str">
        <f t="shared" si="5"/>
        <v/>
      </c>
      <c r="AF121" s="81"/>
      <c r="AG121" s="77"/>
      <c r="AH121" s="81"/>
      <c r="AI121" s="77"/>
      <c r="AJ121" s="82" t="str">
        <f t="shared" si="6"/>
        <v/>
      </c>
      <c r="AK121" s="83" t="str">
        <f t="shared" si="7"/>
        <v/>
      </c>
    </row>
    <row r="122" spans="2:37" ht="21" x14ac:dyDescent="0.35">
      <c r="B122" s="77"/>
      <c r="C122" s="77"/>
      <c r="D122" s="77"/>
      <c r="E122" s="77"/>
      <c r="F122" s="77"/>
      <c r="G122" s="77"/>
      <c r="H122" s="77"/>
      <c r="I122" s="78"/>
      <c r="J122" s="77"/>
      <c r="K122" s="77"/>
      <c r="L122" s="77"/>
      <c r="M122" s="78"/>
      <c r="N122" s="77"/>
      <c r="O122" s="77"/>
      <c r="P122" s="77"/>
      <c r="Q122" s="78"/>
      <c r="R122" s="77"/>
      <c r="S122" s="77"/>
      <c r="T122" s="77"/>
      <c r="U122" s="78"/>
      <c r="V122" s="77"/>
      <c r="W122" s="77"/>
      <c r="X122" s="77"/>
      <c r="Y122" s="78"/>
      <c r="Z122" s="77"/>
      <c r="AA122" s="77"/>
      <c r="AB122" s="77"/>
      <c r="AC122" s="77"/>
      <c r="AD122" s="79" t="str">
        <f t="shared" si="4"/>
        <v/>
      </c>
      <c r="AE122" s="80" t="str">
        <f t="shared" si="5"/>
        <v/>
      </c>
      <c r="AF122" s="81"/>
      <c r="AG122" s="77"/>
      <c r="AH122" s="81"/>
      <c r="AI122" s="77"/>
      <c r="AJ122" s="82" t="str">
        <f t="shared" si="6"/>
        <v/>
      </c>
      <c r="AK122" s="83" t="str">
        <f t="shared" si="7"/>
        <v/>
      </c>
    </row>
    <row r="123" spans="2:37" ht="21" x14ac:dyDescent="0.35">
      <c r="B123" s="77"/>
      <c r="C123" s="77"/>
      <c r="D123" s="77"/>
      <c r="E123" s="77"/>
      <c r="F123" s="77"/>
      <c r="G123" s="77"/>
      <c r="H123" s="77"/>
      <c r="I123" s="78"/>
      <c r="J123" s="77"/>
      <c r="K123" s="77"/>
      <c r="L123" s="77"/>
      <c r="M123" s="78"/>
      <c r="N123" s="77"/>
      <c r="O123" s="77"/>
      <c r="P123" s="77"/>
      <c r="Q123" s="78"/>
      <c r="R123" s="77"/>
      <c r="S123" s="77"/>
      <c r="T123" s="77"/>
      <c r="U123" s="78"/>
      <c r="V123" s="77"/>
      <c r="W123" s="77"/>
      <c r="X123" s="77"/>
      <c r="Y123" s="78"/>
      <c r="Z123" s="77"/>
      <c r="AA123" s="77"/>
      <c r="AB123" s="77"/>
      <c r="AC123" s="77"/>
      <c r="AD123" s="79" t="str">
        <f t="shared" si="4"/>
        <v/>
      </c>
      <c r="AE123" s="80" t="str">
        <f t="shared" si="5"/>
        <v/>
      </c>
      <c r="AF123" s="81"/>
      <c r="AG123" s="77"/>
      <c r="AH123" s="81"/>
      <c r="AI123" s="77"/>
      <c r="AJ123" s="82" t="str">
        <f t="shared" si="6"/>
        <v/>
      </c>
      <c r="AK123" s="83" t="str">
        <f t="shared" si="7"/>
        <v/>
      </c>
    </row>
    <row r="124" spans="2:37" ht="21" x14ac:dyDescent="0.35">
      <c r="B124" s="77"/>
      <c r="C124" s="77"/>
      <c r="D124" s="77"/>
      <c r="E124" s="77"/>
      <c r="F124" s="77"/>
      <c r="G124" s="77"/>
      <c r="H124" s="77"/>
      <c r="I124" s="78"/>
      <c r="J124" s="77"/>
      <c r="K124" s="77"/>
      <c r="L124" s="77"/>
      <c r="M124" s="78"/>
      <c r="N124" s="77"/>
      <c r="O124" s="77"/>
      <c r="P124" s="77"/>
      <c r="Q124" s="78"/>
      <c r="R124" s="77"/>
      <c r="S124" s="77"/>
      <c r="T124" s="77"/>
      <c r="U124" s="78"/>
      <c r="V124" s="77"/>
      <c r="W124" s="77"/>
      <c r="X124" s="77"/>
      <c r="Y124" s="78"/>
      <c r="Z124" s="77"/>
      <c r="AA124" s="77"/>
      <c r="AB124" s="77"/>
      <c r="AC124" s="77"/>
      <c r="AD124" s="79" t="str">
        <f t="shared" si="4"/>
        <v/>
      </c>
      <c r="AE124" s="80" t="str">
        <f t="shared" si="5"/>
        <v/>
      </c>
      <c r="AF124" s="81"/>
      <c r="AG124" s="77"/>
      <c r="AH124" s="81"/>
      <c r="AI124" s="77"/>
      <c r="AJ124" s="82" t="str">
        <f t="shared" si="6"/>
        <v/>
      </c>
      <c r="AK124" s="83" t="str">
        <f t="shared" si="7"/>
        <v/>
      </c>
    </row>
    <row r="125" spans="2:37" ht="21" x14ac:dyDescent="0.35">
      <c r="B125" s="77"/>
      <c r="C125" s="77"/>
      <c r="D125" s="77"/>
      <c r="E125" s="77"/>
      <c r="F125" s="77"/>
      <c r="G125" s="77"/>
      <c r="H125" s="77"/>
      <c r="I125" s="78"/>
      <c r="J125" s="77"/>
      <c r="K125" s="77"/>
      <c r="L125" s="77"/>
      <c r="M125" s="78"/>
      <c r="N125" s="77"/>
      <c r="O125" s="77"/>
      <c r="P125" s="77"/>
      <c r="Q125" s="78"/>
      <c r="R125" s="77"/>
      <c r="S125" s="77"/>
      <c r="T125" s="77"/>
      <c r="U125" s="78"/>
      <c r="V125" s="77"/>
      <c r="W125" s="77"/>
      <c r="X125" s="77"/>
      <c r="Y125" s="78"/>
      <c r="Z125" s="77"/>
      <c r="AA125" s="77"/>
      <c r="AB125" s="77"/>
      <c r="AC125" s="77"/>
      <c r="AD125" s="79" t="str">
        <f t="shared" si="4"/>
        <v/>
      </c>
      <c r="AE125" s="80" t="str">
        <f t="shared" si="5"/>
        <v/>
      </c>
      <c r="AF125" s="81"/>
      <c r="AG125" s="77"/>
      <c r="AH125" s="81"/>
      <c r="AI125" s="77"/>
      <c r="AJ125" s="82" t="str">
        <f t="shared" si="6"/>
        <v/>
      </c>
      <c r="AK125" s="83" t="str">
        <f t="shared" si="7"/>
        <v/>
      </c>
    </row>
    <row r="126" spans="2:37" ht="21" x14ac:dyDescent="0.35">
      <c r="B126" s="77"/>
      <c r="C126" s="77"/>
      <c r="D126" s="77"/>
      <c r="E126" s="77"/>
      <c r="F126" s="77"/>
      <c r="G126" s="77"/>
      <c r="H126" s="77"/>
      <c r="I126" s="78"/>
      <c r="J126" s="77"/>
      <c r="K126" s="77"/>
      <c r="L126" s="77"/>
      <c r="M126" s="78"/>
      <c r="N126" s="77"/>
      <c r="O126" s="77"/>
      <c r="P126" s="77"/>
      <c r="Q126" s="78"/>
      <c r="R126" s="77"/>
      <c r="S126" s="77"/>
      <c r="T126" s="77"/>
      <c r="U126" s="78"/>
      <c r="V126" s="77"/>
      <c r="W126" s="77"/>
      <c r="X126" s="77"/>
      <c r="Y126" s="78"/>
      <c r="Z126" s="77"/>
      <c r="AA126" s="77"/>
      <c r="AB126" s="77"/>
      <c r="AC126" s="77"/>
      <c r="AD126" s="79" t="str">
        <f t="shared" si="4"/>
        <v/>
      </c>
      <c r="AE126" s="80" t="str">
        <f t="shared" si="5"/>
        <v/>
      </c>
      <c r="AF126" s="81"/>
      <c r="AG126" s="77"/>
      <c r="AH126" s="81"/>
      <c r="AI126" s="77"/>
      <c r="AJ126" s="82" t="str">
        <f t="shared" si="6"/>
        <v/>
      </c>
      <c r="AK126" s="83" t="str">
        <f t="shared" si="7"/>
        <v/>
      </c>
    </row>
    <row r="127" spans="2:37" ht="21" x14ac:dyDescent="0.35">
      <c r="B127" s="77"/>
      <c r="C127" s="77"/>
      <c r="D127" s="77"/>
      <c r="E127" s="77"/>
      <c r="F127" s="77"/>
      <c r="G127" s="77"/>
      <c r="H127" s="77"/>
      <c r="I127" s="78"/>
      <c r="J127" s="77"/>
      <c r="K127" s="77"/>
      <c r="L127" s="77"/>
      <c r="M127" s="78"/>
      <c r="N127" s="77"/>
      <c r="O127" s="77"/>
      <c r="P127" s="77"/>
      <c r="Q127" s="78"/>
      <c r="R127" s="77"/>
      <c r="S127" s="77"/>
      <c r="T127" s="77"/>
      <c r="U127" s="78"/>
      <c r="V127" s="77"/>
      <c r="W127" s="77"/>
      <c r="X127" s="77"/>
      <c r="Y127" s="78"/>
      <c r="Z127" s="77"/>
      <c r="AA127" s="77"/>
      <c r="AB127" s="77"/>
      <c r="AC127" s="77"/>
      <c r="AD127" s="79" t="str">
        <f t="shared" si="4"/>
        <v/>
      </c>
      <c r="AE127" s="80" t="str">
        <f t="shared" si="5"/>
        <v/>
      </c>
      <c r="AF127" s="81"/>
      <c r="AG127" s="77"/>
      <c r="AH127" s="81"/>
      <c r="AI127" s="77"/>
      <c r="AJ127" s="82" t="str">
        <f t="shared" si="6"/>
        <v/>
      </c>
      <c r="AK127" s="83" t="str">
        <f t="shared" si="7"/>
        <v/>
      </c>
    </row>
    <row r="128" spans="2:37" ht="21" x14ac:dyDescent="0.35">
      <c r="B128" s="77"/>
      <c r="C128" s="77"/>
      <c r="D128" s="77"/>
      <c r="E128" s="77"/>
      <c r="F128" s="77"/>
      <c r="G128" s="77"/>
      <c r="H128" s="77"/>
      <c r="I128" s="78"/>
      <c r="J128" s="77"/>
      <c r="K128" s="77"/>
      <c r="L128" s="77"/>
      <c r="M128" s="78"/>
      <c r="N128" s="77"/>
      <c r="O128" s="77"/>
      <c r="P128" s="77"/>
      <c r="Q128" s="78"/>
      <c r="R128" s="77"/>
      <c r="S128" s="77"/>
      <c r="T128" s="77"/>
      <c r="U128" s="78"/>
      <c r="V128" s="77"/>
      <c r="W128" s="77"/>
      <c r="X128" s="77"/>
      <c r="Y128" s="78"/>
      <c r="Z128" s="77"/>
      <c r="AA128" s="77"/>
      <c r="AB128" s="77"/>
      <c r="AC128" s="77"/>
      <c r="AD128" s="79" t="str">
        <f t="shared" si="4"/>
        <v/>
      </c>
      <c r="AE128" s="80" t="str">
        <f t="shared" si="5"/>
        <v/>
      </c>
      <c r="AF128" s="81"/>
      <c r="AG128" s="77"/>
      <c r="AH128" s="81"/>
      <c r="AI128" s="77"/>
      <c r="AJ128" s="82" t="str">
        <f t="shared" si="6"/>
        <v/>
      </c>
      <c r="AK128" s="83" t="str">
        <f t="shared" si="7"/>
        <v/>
      </c>
    </row>
    <row r="129" spans="2:37" ht="21" x14ac:dyDescent="0.35">
      <c r="B129" s="77"/>
      <c r="C129" s="77"/>
      <c r="D129" s="77"/>
      <c r="E129" s="77"/>
      <c r="F129" s="77"/>
      <c r="G129" s="77"/>
      <c r="H129" s="77"/>
      <c r="I129" s="78"/>
      <c r="J129" s="77"/>
      <c r="K129" s="77"/>
      <c r="L129" s="77"/>
      <c r="M129" s="78"/>
      <c r="N129" s="77"/>
      <c r="O129" s="77"/>
      <c r="P129" s="77"/>
      <c r="Q129" s="78"/>
      <c r="R129" s="77"/>
      <c r="S129" s="77"/>
      <c r="T129" s="77"/>
      <c r="U129" s="78"/>
      <c r="V129" s="77"/>
      <c r="W129" s="77"/>
      <c r="X129" s="77"/>
      <c r="Y129" s="78"/>
      <c r="Z129" s="77"/>
      <c r="AA129" s="77"/>
      <c r="AB129" s="77"/>
      <c r="AC129" s="77"/>
      <c r="AD129" s="79" t="str">
        <f t="shared" si="4"/>
        <v/>
      </c>
      <c r="AE129" s="80" t="str">
        <f t="shared" si="5"/>
        <v/>
      </c>
      <c r="AF129" s="81"/>
      <c r="AG129" s="77"/>
      <c r="AH129" s="81"/>
      <c r="AI129" s="77"/>
      <c r="AJ129" s="82" t="str">
        <f t="shared" si="6"/>
        <v/>
      </c>
      <c r="AK129" s="83" t="str">
        <f t="shared" si="7"/>
        <v/>
      </c>
    </row>
    <row r="130" spans="2:37" ht="21" x14ac:dyDescent="0.35">
      <c r="B130" s="77"/>
      <c r="C130" s="77"/>
      <c r="D130" s="77"/>
      <c r="E130" s="77"/>
      <c r="F130" s="77"/>
      <c r="G130" s="77"/>
      <c r="H130" s="77"/>
      <c r="I130" s="78"/>
      <c r="J130" s="77"/>
      <c r="K130" s="77"/>
      <c r="L130" s="77"/>
      <c r="M130" s="78"/>
      <c r="N130" s="77"/>
      <c r="O130" s="77"/>
      <c r="P130" s="77"/>
      <c r="Q130" s="78"/>
      <c r="R130" s="77"/>
      <c r="S130" s="77"/>
      <c r="T130" s="77"/>
      <c r="U130" s="78"/>
      <c r="V130" s="77"/>
      <c r="W130" s="77"/>
      <c r="X130" s="77"/>
      <c r="Y130" s="78"/>
      <c r="Z130" s="77"/>
      <c r="AA130" s="77"/>
      <c r="AB130" s="77"/>
      <c r="AC130" s="77"/>
      <c r="AD130" s="79" t="str">
        <f t="shared" si="4"/>
        <v/>
      </c>
      <c r="AE130" s="80" t="str">
        <f t="shared" si="5"/>
        <v/>
      </c>
      <c r="AF130" s="81"/>
      <c r="AG130" s="77"/>
      <c r="AH130" s="81"/>
      <c r="AI130" s="77"/>
      <c r="AJ130" s="82" t="str">
        <f t="shared" si="6"/>
        <v/>
      </c>
      <c r="AK130" s="83" t="str">
        <f t="shared" si="7"/>
        <v/>
      </c>
    </row>
    <row r="131" spans="2:37" ht="21" x14ac:dyDescent="0.35">
      <c r="B131" s="77"/>
      <c r="C131" s="77"/>
      <c r="D131" s="77"/>
      <c r="E131" s="77"/>
      <c r="F131" s="77"/>
      <c r="G131" s="77"/>
      <c r="H131" s="77"/>
      <c r="I131" s="78"/>
      <c r="J131" s="77"/>
      <c r="K131" s="77"/>
      <c r="L131" s="77"/>
      <c r="M131" s="78"/>
      <c r="N131" s="77"/>
      <c r="O131" s="77"/>
      <c r="P131" s="77"/>
      <c r="Q131" s="78"/>
      <c r="R131" s="77"/>
      <c r="S131" s="77"/>
      <c r="T131" s="77"/>
      <c r="U131" s="78"/>
      <c r="V131" s="77"/>
      <c r="W131" s="77"/>
      <c r="X131" s="77"/>
      <c r="Y131" s="78"/>
      <c r="Z131" s="77"/>
      <c r="AA131" s="77"/>
      <c r="AB131" s="77"/>
      <c r="AC131" s="77"/>
      <c r="AD131" s="79" t="str">
        <f t="shared" si="4"/>
        <v/>
      </c>
      <c r="AE131" s="80" t="str">
        <f t="shared" si="5"/>
        <v/>
      </c>
      <c r="AF131" s="81"/>
      <c r="AG131" s="77"/>
      <c r="AH131" s="81"/>
      <c r="AI131" s="77"/>
      <c r="AJ131" s="82" t="str">
        <f t="shared" si="6"/>
        <v/>
      </c>
      <c r="AK131" s="83" t="str">
        <f t="shared" si="7"/>
        <v/>
      </c>
    </row>
    <row r="132" spans="2:37" ht="21" x14ac:dyDescent="0.35">
      <c r="B132" s="77"/>
      <c r="C132" s="77"/>
      <c r="D132" s="77"/>
      <c r="E132" s="77"/>
      <c r="F132" s="77"/>
      <c r="G132" s="77"/>
      <c r="H132" s="77"/>
      <c r="I132" s="78"/>
      <c r="J132" s="77"/>
      <c r="K132" s="77"/>
      <c r="L132" s="77"/>
      <c r="M132" s="78"/>
      <c r="N132" s="77"/>
      <c r="O132" s="77"/>
      <c r="P132" s="77"/>
      <c r="Q132" s="78"/>
      <c r="R132" s="77"/>
      <c r="S132" s="77"/>
      <c r="T132" s="77"/>
      <c r="U132" s="78"/>
      <c r="V132" s="77"/>
      <c r="W132" s="77"/>
      <c r="X132" s="77"/>
      <c r="Y132" s="78"/>
      <c r="Z132" s="77"/>
      <c r="AA132" s="77"/>
      <c r="AB132" s="77"/>
      <c r="AC132" s="77"/>
      <c r="AD132" s="79" t="str">
        <f t="shared" ref="AD132:AD195" si="8">IF(MIN(F132,J132,N132,R132,V132,Z132)&lt;&gt;0,MIN(F132,J132,N132,R132,V132,Z132),"")</f>
        <v/>
      </c>
      <c r="AE132" s="80" t="str">
        <f t="shared" ref="AE132:AE195" si="9">IF(MIN(H132,L132,P132,T132,X132,AB132)&lt;&gt;0,MIN(H132,L132,P132,T132,X132,AB132),"")</f>
        <v/>
      </c>
      <c r="AF132" s="81"/>
      <c r="AG132" s="77"/>
      <c r="AH132" s="81"/>
      <c r="AI132" s="77"/>
      <c r="AJ132" s="82" t="str">
        <f t="shared" ref="AJ132:AJ195" si="10">IF(AD132="","",IF(ISBLANK(AF132),"En cours",AD132+AF132))</f>
        <v/>
      </c>
      <c r="AK132" s="83" t="str">
        <f t="shared" ref="AK132:AK195" si="11">IF(AE132="","",IF(ISBLANK(AH132),"En cours",AE132+AH132))</f>
        <v/>
      </c>
    </row>
    <row r="133" spans="2:37" ht="21" x14ac:dyDescent="0.35">
      <c r="B133" s="77"/>
      <c r="C133" s="77"/>
      <c r="D133" s="77"/>
      <c r="E133" s="77"/>
      <c r="F133" s="77"/>
      <c r="G133" s="77"/>
      <c r="H133" s="77"/>
      <c r="I133" s="78"/>
      <c r="J133" s="77"/>
      <c r="K133" s="77"/>
      <c r="L133" s="77"/>
      <c r="M133" s="78"/>
      <c r="N133" s="77"/>
      <c r="O133" s="77"/>
      <c r="P133" s="77"/>
      <c r="Q133" s="78"/>
      <c r="R133" s="77"/>
      <c r="S133" s="77"/>
      <c r="T133" s="77"/>
      <c r="U133" s="78"/>
      <c r="V133" s="77"/>
      <c r="W133" s="77"/>
      <c r="X133" s="77"/>
      <c r="Y133" s="78"/>
      <c r="Z133" s="77"/>
      <c r="AA133" s="77"/>
      <c r="AB133" s="77"/>
      <c r="AC133" s="77"/>
      <c r="AD133" s="79" t="str">
        <f t="shared" si="8"/>
        <v/>
      </c>
      <c r="AE133" s="80" t="str">
        <f t="shared" si="9"/>
        <v/>
      </c>
      <c r="AF133" s="81"/>
      <c r="AG133" s="77"/>
      <c r="AH133" s="81"/>
      <c r="AI133" s="77"/>
      <c r="AJ133" s="82" t="str">
        <f t="shared" si="10"/>
        <v/>
      </c>
      <c r="AK133" s="83" t="str">
        <f t="shared" si="11"/>
        <v/>
      </c>
    </row>
    <row r="134" spans="2:37" ht="21" x14ac:dyDescent="0.35">
      <c r="B134" s="77"/>
      <c r="C134" s="77"/>
      <c r="D134" s="77"/>
      <c r="E134" s="77"/>
      <c r="F134" s="77"/>
      <c r="G134" s="77"/>
      <c r="H134" s="77"/>
      <c r="I134" s="78"/>
      <c r="J134" s="77"/>
      <c r="K134" s="77"/>
      <c r="L134" s="77"/>
      <c r="M134" s="78"/>
      <c r="N134" s="77"/>
      <c r="O134" s="77"/>
      <c r="P134" s="77"/>
      <c r="Q134" s="78"/>
      <c r="R134" s="77"/>
      <c r="S134" s="77"/>
      <c r="T134" s="77"/>
      <c r="U134" s="78"/>
      <c r="V134" s="77"/>
      <c r="W134" s="77"/>
      <c r="X134" s="77"/>
      <c r="Y134" s="78"/>
      <c r="Z134" s="77"/>
      <c r="AA134" s="77"/>
      <c r="AB134" s="77"/>
      <c r="AC134" s="77"/>
      <c r="AD134" s="79" t="str">
        <f t="shared" si="8"/>
        <v/>
      </c>
      <c r="AE134" s="80" t="str">
        <f t="shared" si="9"/>
        <v/>
      </c>
      <c r="AF134" s="81"/>
      <c r="AG134" s="77"/>
      <c r="AH134" s="81"/>
      <c r="AI134" s="77"/>
      <c r="AJ134" s="82" t="str">
        <f t="shared" si="10"/>
        <v/>
      </c>
      <c r="AK134" s="83" t="str">
        <f t="shared" si="11"/>
        <v/>
      </c>
    </row>
    <row r="135" spans="2:37" ht="21" x14ac:dyDescent="0.35">
      <c r="B135" s="77"/>
      <c r="C135" s="77"/>
      <c r="D135" s="77"/>
      <c r="E135" s="77"/>
      <c r="F135" s="77"/>
      <c r="G135" s="77"/>
      <c r="H135" s="77"/>
      <c r="I135" s="78"/>
      <c r="J135" s="77"/>
      <c r="K135" s="77"/>
      <c r="L135" s="77"/>
      <c r="M135" s="78"/>
      <c r="N135" s="77"/>
      <c r="O135" s="77"/>
      <c r="P135" s="77"/>
      <c r="Q135" s="78"/>
      <c r="R135" s="77"/>
      <c r="S135" s="77"/>
      <c r="T135" s="77"/>
      <c r="U135" s="78"/>
      <c r="V135" s="77"/>
      <c r="W135" s="77"/>
      <c r="X135" s="77"/>
      <c r="Y135" s="78"/>
      <c r="Z135" s="77"/>
      <c r="AA135" s="77"/>
      <c r="AB135" s="77"/>
      <c r="AC135" s="77"/>
      <c r="AD135" s="79" t="str">
        <f t="shared" si="8"/>
        <v/>
      </c>
      <c r="AE135" s="80" t="str">
        <f t="shared" si="9"/>
        <v/>
      </c>
      <c r="AF135" s="81"/>
      <c r="AG135" s="77"/>
      <c r="AH135" s="81"/>
      <c r="AI135" s="77"/>
      <c r="AJ135" s="82" t="str">
        <f t="shared" si="10"/>
        <v/>
      </c>
      <c r="AK135" s="83" t="str">
        <f t="shared" si="11"/>
        <v/>
      </c>
    </row>
    <row r="136" spans="2:37" ht="21" x14ac:dyDescent="0.35">
      <c r="B136" s="77"/>
      <c r="C136" s="77"/>
      <c r="D136" s="77"/>
      <c r="E136" s="77"/>
      <c r="F136" s="77"/>
      <c r="G136" s="77"/>
      <c r="H136" s="77"/>
      <c r="I136" s="78"/>
      <c r="J136" s="77"/>
      <c r="K136" s="77"/>
      <c r="L136" s="77"/>
      <c r="M136" s="78"/>
      <c r="N136" s="77"/>
      <c r="O136" s="77"/>
      <c r="P136" s="77"/>
      <c r="Q136" s="78"/>
      <c r="R136" s="77"/>
      <c r="S136" s="77"/>
      <c r="T136" s="77"/>
      <c r="U136" s="78"/>
      <c r="V136" s="77"/>
      <c r="W136" s="77"/>
      <c r="X136" s="77"/>
      <c r="Y136" s="78"/>
      <c r="Z136" s="77"/>
      <c r="AA136" s="77"/>
      <c r="AB136" s="77"/>
      <c r="AC136" s="77"/>
      <c r="AD136" s="79" t="str">
        <f t="shared" si="8"/>
        <v/>
      </c>
      <c r="AE136" s="80" t="str">
        <f t="shared" si="9"/>
        <v/>
      </c>
      <c r="AF136" s="81"/>
      <c r="AG136" s="77"/>
      <c r="AH136" s="81"/>
      <c r="AI136" s="77"/>
      <c r="AJ136" s="82" t="str">
        <f t="shared" si="10"/>
        <v/>
      </c>
      <c r="AK136" s="83" t="str">
        <f t="shared" si="11"/>
        <v/>
      </c>
    </row>
    <row r="137" spans="2:37" ht="21" x14ac:dyDescent="0.35">
      <c r="B137" s="77"/>
      <c r="C137" s="77"/>
      <c r="D137" s="77"/>
      <c r="E137" s="77"/>
      <c r="F137" s="77"/>
      <c r="G137" s="77"/>
      <c r="H137" s="77"/>
      <c r="I137" s="78"/>
      <c r="J137" s="77"/>
      <c r="K137" s="77"/>
      <c r="L137" s="77"/>
      <c r="M137" s="78"/>
      <c r="N137" s="77"/>
      <c r="O137" s="77"/>
      <c r="P137" s="77"/>
      <c r="Q137" s="78"/>
      <c r="R137" s="77"/>
      <c r="S137" s="77"/>
      <c r="T137" s="77"/>
      <c r="U137" s="78"/>
      <c r="V137" s="77"/>
      <c r="W137" s="77"/>
      <c r="X137" s="77"/>
      <c r="Y137" s="78"/>
      <c r="Z137" s="77"/>
      <c r="AA137" s="77"/>
      <c r="AB137" s="77"/>
      <c r="AC137" s="77"/>
      <c r="AD137" s="79" t="str">
        <f t="shared" si="8"/>
        <v/>
      </c>
      <c r="AE137" s="80" t="str">
        <f t="shared" si="9"/>
        <v/>
      </c>
      <c r="AF137" s="81"/>
      <c r="AG137" s="77"/>
      <c r="AH137" s="81"/>
      <c r="AI137" s="77"/>
      <c r="AJ137" s="82" t="str">
        <f t="shared" si="10"/>
        <v/>
      </c>
      <c r="AK137" s="83" t="str">
        <f t="shared" si="11"/>
        <v/>
      </c>
    </row>
    <row r="138" spans="2:37" ht="21" x14ac:dyDescent="0.35">
      <c r="B138" s="77"/>
      <c r="C138" s="77"/>
      <c r="D138" s="77"/>
      <c r="E138" s="77"/>
      <c r="F138" s="77"/>
      <c r="G138" s="77"/>
      <c r="H138" s="77"/>
      <c r="I138" s="78"/>
      <c r="J138" s="77"/>
      <c r="K138" s="77"/>
      <c r="L138" s="77"/>
      <c r="M138" s="78"/>
      <c r="N138" s="77"/>
      <c r="O138" s="77"/>
      <c r="P138" s="77"/>
      <c r="Q138" s="78"/>
      <c r="R138" s="77"/>
      <c r="S138" s="77"/>
      <c r="T138" s="77"/>
      <c r="U138" s="78"/>
      <c r="V138" s="77"/>
      <c r="W138" s="77"/>
      <c r="X138" s="77"/>
      <c r="Y138" s="78"/>
      <c r="Z138" s="77"/>
      <c r="AA138" s="77"/>
      <c r="AB138" s="77"/>
      <c r="AC138" s="77"/>
      <c r="AD138" s="79" t="str">
        <f t="shared" si="8"/>
        <v/>
      </c>
      <c r="AE138" s="80" t="str">
        <f t="shared" si="9"/>
        <v/>
      </c>
      <c r="AF138" s="81"/>
      <c r="AG138" s="77"/>
      <c r="AH138" s="81"/>
      <c r="AI138" s="77"/>
      <c r="AJ138" s="82" t="str">
        <f t="shared" si="10"/>
        <v/>
      </c>
      <c r="AK138" s="83" t="str">
        <f t="shared" si="11"/>
        <v/>
      </c>
    </row>
    <row r="139" spans="2:37" ht="21" x14ac:dyDescent="0.35">
      <c r="B139" s="77"/>
      <c r="C139" s="77"/>
      <c r="D139" s="77"/>
      <c r="E139" s="77"/>
      <c r="F139" s="77"/>
      <c r="G139" s="77"/>
      <c r="H139" s="77"/>
      <c r="I139" s="78"/>
      <c r="J139" s="77"/>
      <c r="K139" s="77"/>
      <c r="L139" s="77"/>
      <c r="M139" s="78"/>
      <c r="N139" s="77"/>
      <c r="O139" s="77"/>
      <c r="P139" s="77"/>
      <c r="Q139" s="78"/>
      <c r="R139" s="77"/>
      <c r="S139" s="77"/>
      <c r="T139" s="77"/>
      <c r="U139" s="78"/>
      <c r="V139" s="77"/>
      <c r="W139" s="77"/>
      <c r="X139" s="77"/>
      <c r="Y139" s="78"/>
      <c r="Z139" s="77"/>
      <c r="AA139" s="77"/>
      <c r="AB139" s="77"/>
      <c r="AC139" s="77"/>
      <c r="AD139" s="79" t="str">
        <f t="shared" si="8"/>
        <v/>
      </c>
      <c r="AE139" s="80" t="str">
        <f t="shared" si="9"/>
        <v/>
      </c>
      <c r="AF139" s="81"/>
      <c r="AG139" s="77"/>
      <c r="AH139" s="81"/>
      <c r="AI139" s="77"/>
      <c r="AJ139" s="82" t="str">
        <f t="shared" si="10"/>
        <v/>
      </c>
      <c r="AK139" s="83" t="str">
        <f t="shared" si="11"/>
        <v/>
      </c>
    </row>
    <row r="140" spans="2:37" ht="21" x14ac:dyDescent="0.35">
      <c r="B140" s="77"/>
      <c r="C140" s="77"/>
      <c r="D140" s="77"/>
      <c r="E140" s="77"/>
      <c r="F140" s="77"/>
      <c r="G140" s="77"/>
      <c r="H140" s="77"/>
      <c r="I140" s="78"/>
      <c r="J140" s="77"/>
      <c r="K140" s="77"/>
      <c r="L140" s="77"/>
      <c r="M140" s="78"/>
      <c r="N140" s="77"/>
      <c r="O140" s="77"/>
      <c r="P140" s="77"/>
      <c r="Q140" s="78"/>
      <c r="R140" s="77"/>
      <c r="S140" s="77"/>
      <c r="T140" s="77"/>
      <c r="U140" s="78"/>
      <c r="V140" s="77"/>
      <c r="W140" s="77"/>
      <c r="X140" s="77"/>
      <c r="Y140" s="78"/>
      <c r="Z140" s="77"/>
      <c r="AA140" s="77"/>
      <c r="AB140" s="77"/>
      <c r="AC140" s="77"/>
      <c r="AD140" s="79" t="str">
        <f t="shared" si="8"/>
        <v/>
      </c>
      <c r="AE140" s="80" t="str">
        <f t="shared" si="9"/>
        <v/>
      </c>
      <c r="AF140" s="81"/>
      <c r="AG140" s="77"/>
      <c r="AH140" s="81"/>
      <c r="AI140" s="77"/>
      <c r="AJ140" s="82" t="str">
        <f t="shared" si="10"/>
        <v/>
      </c>
      <c r="AK140" s="83" t="str">
        <f t="shared" si="11"/>
        <v/>
      </c>
    </row>
    <row r="141" spans="2:37" ht="21" x14ac:dyDescent="0.35">
      <c r="B141" s="77"/>
      <c r="C141" s="77"/>
      <c r="D141" s="77"/>
      <c r="E141" s="77"/>
      <c r="F141" s="77"/>
      <c r="G141" s="77"/>
      <c r="H141" s="77"/>
      <c r="I141" s="78"/>
      <c r="J141" s="77"/>
      <c r="K141" s="77"/>
      <c r="L141" s="77"/>
      <c r="M141" s="78"/>
      <c r="N141" s="77"/>
      <c r="O141" s="77"/>
      <c r="P141" s="77"/>
      <c r="Q141" s="78"/>
      <c r="R141" s="77"/>
      <c r="S141" s="77"/>
      <c r="T141" s="77"/>
      <c r="U141" s="78"/>
      <c r="V141" s="77"/>
      <c r="W141" s="77"/>
      <c r="X141" s="77"/>
      <c r="Y141" s="78"/>
      <c r="Z141" s="77"/>
      <c r="AA141" s="77"/>
      <c r="AB141" s="77"/>
      <c r="AC141" s="77"/>
      <c r="AD141" s="79" t="str">
        <f t="shared" si="8"/>
        <v/>
      </c>
      <c r="AE141" s="80" t="str">
        <f t="shared" si="9"/>
        <v/>
      </c>
      <c r="AF141" s="81"/>
      <c r="AG141" s="77"/>
      <c r="AH141" s="81"/>
      <c r="AI141" s="77"/>
      <c r="AJ141" s="82" t="str">
        <f t="shared" si="10"/>
        <v/>
      </c>
      <c r="AK141" s="83" t="str">
        <f t="shared" si="11"/>
        <v/>
      </c>
    </row>
    <row r="142" spans="2:37" ht="21" x14ac:dyDescent="0.35">
      <c r="B142" s="77"/>
      <c r="C142" s="77"/>
      <c r="D142" s="77"/>
      <c r="E142" s="77"/>
      <c r="F142" s="77"/>
      <c r="G142" s="77"/>
      <c r="H142" s="77"/>
      <c r="I142" s="78"/>
      <c r="J142" s="77"/>
      <c r="K142" s="77"/>
      <c r="L142" s="77"/>
      <c r="M142" s="78"/>
      <c r="N142" s="77"/>
      <c r="O142" s="77"/>
      <c r="P142" s="77"/>
      <c r="Q142" s="78"/>
      <c r="R142" s="77"/>
      <c r="S142" s="77"/>
      <c r="T142" s="77"/>
      <c r="U142" s="78"/>
      <c r="V142" s="77"/>
      <c r="W142" s="77"/>
      <c r="X142" s="77"/>
      <c r="Y142" s="78"/>
      <c r="Z142" s="77"/>
      <c r="AA142" s="77"/>
      <c r="AB142" s="77"/>
      <c r="AC142" s="77"/>
      <c r="AD142" s="79" t="str">
        <f t="shared" si="8"/>
        <v/>
      </c>
      <c r="AE142" s="80" t="str">
        <f t="shared" si="9"/>
        <v/>
      </c>
      <c r="AF142" s="81"/>
      <c r="AG142" s="77"/>
      <c r="AH142" s="81"/>
      <c r="AI142" s="77"/>
      <c r="AJ142" s="82" t="str">
        <f t="shared" si="10"/>
        <v/>
      </c>
      <c r="AK142" s="83" t="str">
        <f t="shared" si="11"/>
        <v/>
      </c>
    </row>
    <row r="143" spans="2:37" ht="21" x14ac:dyDescent="0.35">
      <c r="B143" s="77"/>
      <c r="C143" s="77"/>
      <c r="D143" s="77"/>
      <c r="E143" s="77"/>
      <c r="F143" s="77"/>
      <c r="G143" s="77"/>
      <c r="H143" s="77"/>
      <c r="I143" s="78"/>
      <c r="J143" s="77"/>
      <c r="K143" s="77"/>
      <c r="L143" s="77"/>
      <c r="M143" s="78"/>
      <c r="N143" s="77"/>
      <c r="O143" s="77"/>
      <c r="P143" s="77"/>
      <c r="Q143" s="78"/>
      <c r="R143" s="77"/>
      <c r="S143" s="77"/>
      <c r="T143" s="77"/>
      <c r="U143" s="78"/>
      <c r="V143" s="77"/>
      <c r="W143" s="77"/>
      <c r="X143" s="77"/>
      <c r="Y143" s="78"/>
      <c r="Z143" s="77"/>
      <c r="AA143" s="77"/>
      <c r="AB143" s="77"/>
      <c r="AC143" s="77"/>
      <c r="AD143" s="79" t="str">
        <f t="shared" si="8"/>
        <v/>
      </c>
      <c r="AE143" s="80" t="str">
        <f t="shared" si="9"/>
        <v/>
      </c>
      <c r="AF143" s="81"/>
      <c r="AG143" s="77"/>
      <c r="AH143" s="81"/>
      <c r="AI143" s="77"/>
      <c r="AJ143" s="82" t="str">
        <f t="shared" si="10"/>
        <v/>
      </c>
      <c r="AK143" s="83" t="str">
        <f t="shared" si="11"/>
        <v/>
      </c>
    </row>
    <row r="144" spans="2:37" ht="21" x14ac:dyDescent="0.35">
      <c r="B144" s="77"/>
      <c r="C144" s="77"/>
      <c r="D144" s="77"/>
      <c r="E144" s="77"/>
      <c r="F144" s="77"/>
      <c r="G144" s="77"/>
      <c r="H144" s="77"/>
      <c r="I144" s="78"/>
      <c r="J144" s="77"/>
      <c r="K144" s="77"/>
      <c r="L144" s="77"/>
      <c r="M144" s="78"/>
      <c r="N144" s="77"/>
      <c r="O144" s="77"/>
      <c r="P144" s="77"/>
      <c r="Q144" s="78"/>
      <c r="R144" s="77"/>
      <c r="S144" s="77"/>
      <c r="T144" s="77"/>
      <c r="U144" s="78"/>
      <c r="V144" s="77"/>
      <c r="W144" s="77"/>
      <c r="X144" s="77"/>
      <c r="Y144" s="78"/>
      <c r="Z144" s="77"/>
      <c r="AA144" s="77"/>
      <c r="AB144" s="77"/>
      <c r="AC144" s="77"/>
      <c r="AD144" s="79" t="str">
        <f t="shared" si="8"/>
        <v/>
      </c>
      <c r="AE144" s="80" t="str">
        <f t="shared" si="9"/>
        <v/>
      </c>
      <c r="AF144" s="81"/>
      <c r="AG144" s="77"/>
      <c r="AH144" s="81"/>
      <c r="AI144" s="77"/>
      <c r="AJ144" s="82" t="str">
        <f t="shared" si="10"/>
        <v/>
      </c>
      <c r="AK144" s="83" t="str">
        <f t="shared" si="11"/>
        <v/>
      </c>
    </row>
    <row r="145" spans="2:37" ht="21" x14ac:dyDescent="0.35">
      <c r="B145" s="77"/>
      <c r="C145" s="77"/>
      <c r="D145" s="77"/>
      <c r="E145" s="77"/>
      <c r="F145" s="77"/>
      <c r="G145" s="77"/>
      <c r="H145" s="77"/>
      <c r="I145" s="78"/>
      <c r="J145" s="77"/>
      <c r="K145" s="77"/>
      <c r="L145" s="77"/>
      <c r="M145" s="78"/>
      <c r="N145" s="77"/>
      <c r="O145" s="77"/>
      <c r="P145" s="77"/>
      <c r="Q145" s="78"/>
      <c r="R145" s="77"/>
      <c r="S145" s="77"/>
      <c r="T145" s="77"/>
      <c r="U145" s="78"/>
      <c r="V145" s="77"/>
      <c r="W145" s="77"/>
      <c r="X145" s="77"/>
      <c r="Y145" s="78"/>
      <c r="Z145" s="77"/>
      <c r="AA145" s="77"/>
      <c r="AB145" s="77"/>
      <c r="AC145" s="77"/>
      <c r="AD145" s="79" t="str">
        <f t="shared" si="8"/>
        <v/>
      </c>
      <c r="AE145" s="80" t="str">
        <f t="shared" si="9"/>
        <v/>
      </c>
      <c r="AF145" s="81"/>
      <c r="AG145" s="77"/>
      <c r="AH145" s="81"/>
      <c r="AI145" s="77"/>
      <c r="AJ145" s="82" t="str">
        <f t="shared" si="10"/>
        <v/>
      </c>
      <c r="AK145" s="83" t="str">
        <f t="shared" si="11"/>
        <v/>
      </c>
    </row>
    <row r="146" spans="2:37" ht="21" x14ac:dyDescent="0.35">
      <c r="B146" s="77"/>
      <c r="C146" s="77"/>
      <c r="D146" s="77"/>
      <c r="E146" s="77"/>
      <c r="F146" s="77"/>
      <c r="G146" s="77"/>
      <c r="H146" s="77"/>
      <c r="I146" s="78"/>
      <c r="J146" s="77"/>
      <c r="K146" s="77"/>
      <c r="L146" s="77"/>
      <c r="M146" s="78"/>
      <c r="N146" s="77"/>
      <c r="O146" s="77"/>
      <c r="P146" s="77"/>
      <c r="Q146" s="78"/>
      <c r="R146" s="77"/>
      <c r="S146" s="77"/>
      <c r="T146" s="77"/>
      <c r="U146" s="78"/>
      <c r="V146" s="77"/>
      <c r="W146" s="77"/>
      <c r="X146" s="77"/>
      <c r="Y146" s="78"/>
      <c r="Z146" s="77"/>
      <c r="AA146" s="77"/>
      <c r="AB146" s="77"/>
      <c r="AC146" s="77"/>
      <c r="AD146" s="79" t="str">
        <f t="shared" si="8"/>
        <v/>
      </c>
      <c r="AE146" s="80" t="str">
        <f t="shared" si="9"/>
        <v/>
      </c>
      <c r="AF146" s="81"/>
      <c r="AG146" s="77"/>
      <c r="AH146" s="81"/>
      <c r="AI146" s="77"/>
      <c r="AJ146" s="82" t="str">
        <f t="shared" si="10"/>
        <v/>
      </c>
      <c r="AK146" s="83" t="str">
        <f t="shared" si="11"/>
        <v/>
      </c>
    </row>
    <row r="147" spans="2:37" ht="21" x14ac:dyDescent="0.35">
      <c r="B147" s="77"/>
      <c r="C147" s="77"/>
      <c r="D147" s="77"/>
      <c r="E147" s="77"/>
      <c r="F147" s="77"/>
      <c r="G147" s="77"/>
      <c r="H147" s="77"/>
      <c r="I147" s="78"/>
      <c r="J147" s="77"/>
      <c r="K147" s="77"/>
      <c r="L147" s="77"/>
      <c r="M147" s="78"/>
      <c r="N147" s="77"/>
      <c r="O147" s="77"/>
      <c r="P147" s="77"/>
      <c r="Q147" s="78"/>
      <c r="R147" s="77"/>
      <c r="S147" s="77"/>
      <c r="T147" s="77"/>
      <c r="U147" s="78"/>
      <c r="V147" s="77"/>
      <c r="W147" s="77"/>
      <c r="X147" s="77"/>
      <c r="Y147" s="78"/>
      <c r="Z147" s="77"/>
      <c r="AA147" s="77"/>
      <c r="AB147" s="77"/>
      <c r="AC147" s="77"/>
      <c r="AD147" s="79" t="str">
        <f t="shared" si="8"/>
        <v/>
      </c>
      <c r="AE147" s="80" t="str">
        <f t="shared" si="9"/>
        <v/>
      </c>
      <c r="AF147" s="81"/>
      <c r="AG147" s="77"/>
      <c r="AH147" s="81"/>
      <c r="AI147" s="77"/>
      <c r="AJ147" s="82" t="str">
        <f t="shared" si="10"/>
        <v/>
      </c>
      <c r="AK147" s="83" t="str">
        <f t="shared" si="11"/>
        <v/>
      </c>
    </row>
    <row r="148" spans="2:37" ht="21" x14ac:dyDescent="0.35">
      <c r="B148" s="77"/>
      <c r="C148" s="77"/>
      <c r="D148" s="77"/>
      <c r="E148" s="77"/>
      <c r="F148" s="77"/>
      <c r="G148" s="77"/>
      <c r="H148" s="77"/>
      <c r="I148" s="78"/>
      <c r="J148" s="77"/>
      <c r="K148" s="77"/>
      <c r="L148" s="77"/>
      <c r="M148" s="78"/>
      <c r="N148" s="77"/>
      <c r="O148" s="77"/>
      <c r="P148" s="77"/>
      <c r="Q148" s="78"/>
      <c r="R148" s="77"/>
      <c r="S148" s="77"/>
      <c r="T148" s="77"/>
      <c r="U148" s="78"/>
      <c r="V148" s="77"/>
      <c r="W148" s="77"/>
      <c r="X148" s="77"/>
      <c r="Y148" s="78"/>
      <c r="Z148" s="77"/>
      <c r="AA148" s="77"/>
      <c r="AB148" s="77"/>
      <c r="AC148" s="77"/>
      <c r="AD148" s="79" t="str">
        <f t="shared" si="8"/>
        <v/>
      </c>
      <c r="AE148" s="80" t="str">
        <f t="shared" si="9"/>
        <v/>
      </c>
      <c r="AF148" s="81"/>
      <c r="AG148" s="77"/>
      <c r="AH148" s="81"/>
      <c r="AI148" s="77"/>
      <c r="AJ148" s="82" t="str">
        <f t="shared" si="10"/>
        <v/>
      </c>
      <c r="AK148" s="83" t="str">
        <f t="shared" si="11"/>
        <v/>
      </c>
    </row>
    <row r="149" spans="2:37" ht="21" x14ac:dyDescent="0.35">
      <c r="B149" s="77"/>
      <c r="C149" s="77"/>
      <c r="D149" s="77"/>
      <c r="E149" s="77"/>
      <c r="F149" s="77"/>
      <c r="G149" s="77"/>
      <c r="H149" s="77"/>
      <c r="I149" s="78"/>
      <c r="J149" s="77"/>
      <c r="K149" s="77"/>
      <c r="L149" s="77"/>
      <c r="M149" s="78"/>
      <c r="N149" s="77"/>
      <c r="O149" s="77"/>
      <c r="P149" s="77"/>
      <c r="Q149" s="78"/>
      <c r="R149" s="77"/>
      <c r="S149" s="77"/>
      <c r="T149" s="77"/>
      <c r="U149" s="78"/>
      <c r="V149" s="77"/>
      <c r="W149" s="77"/>
      <c r="X149" s="77"/>
      <c r="Y149" s="78"/>
      <c r="Z149" s="77"/>
      <c r="AA149" s="77"/>
      <c r="AB149" s="77"/>
      <c r="AC149" s="77"/>
      <c r="AD149" s="79" t="str">
        <f t="shared" si="8"/>
        <v/>
      </c>
      <c r="AE149" s="80" t="str">
        <f t="shared" si="9"/>
        <v/>
      </c>
      <c r="AF149" s="81"/>
      <c r="AG149" s="77"/>
      <c r="AH149" s="81"/>
      <c r="AI149" s="77"/>
      <c r="AJ149" s="82" t="str">
        <f t="shared" si="10"/>
        <v/>
      </c>
      <c r="AK149" s="83" t="str">
        <f t="shared" si="11"/>
        <v/>
      </c>
    </row>
    <row r="150" spans="2:37" ht="21" x14ac:dyDescent="0.35">
      <c r="B150" s="77"/>
      <c r="C150" s="77"/>
      <c r="D150" s="77"/>
      <c r="E150" s="77"/>
      <c r="F150" s="77"/>
      <c r="G150" s="77"/>
      <c r="H150" s="77"/>
      <c r="I150" s="78"/>
      <c r="J150" s="77"/>
      <c r="K150" s="77"/>
      <c r="L150" s="77"/>
      <c r="M150" s="78"/>
      <c r="N150" s="77"/>
      <c r="O150" s="77"/>
      <c r="P150" s="77"/>
      <c r="Q150" s="78"/>
      <c r="R150" s="77"/>
      <c r="S150" s="77"/>
      <c r="T150" s="77"/>
      <c r="U150" s="78"/>
      <c r="V150" s="77"/>
      <c r="W150" s="77"/>
      <c r="X150" s="77"/>
      <c r="Y150" s="78"/>
      <c r="Z150" s="77"/>
      <c r="AA150" s="77"/>
      <c r="AB150" s="77"/>
      <c r="AC150" s="77"/>
      <c r="AD150" s="79" t="str">
        <f t="shared" si="8"/>
        <v/>
      </c>
      <c r="AE150" s="80" t="str">
        <f t="shared" si="9"/>
        <v/>
      </c>
      <c r="AF150" s="81"/>
      <c r="AG150" s="77"/>
      <c r="AH150" s="81"/>
      <c r="AI150" s="77"/>
      <c r="AJ150" s="82" t="str">
        <f t="shared" si="10"/>
        <v/>
      </c>
      <c r="AK150" s="83" t="str">
        <f t="shared" si="11"/>
        <v/>
      </c>
    </row>
    <row r="151" spans="2:37" ht="21" x14ac:dyDescent="0.35">
      <c r="B151" s="77"/>
      <c r="C151" s="77"/>
      <c r="D151" s="77"/>
      <c r="E151" s="77"/>
      <c r="F151" s="77"/>
      <c r="G151" s="77"/>
      <c r="H151" s="77"/>
      <c r="I151" s="78"/>
      <c r="J151" s="77"/>
      <c r="K151" s="77"/>
      <c r="L151" s="77"/>
      <c r="M151" s="78"/>
      <c r="N151" s="77"/>
      <c r="O151" s="77"/>
      <c r="P151" s="77"/>
      <c r="Q151" s="78"/>
      <c r="R151" s="77"/>
      <c r="S151" s="77"/>
      <c r="T151" s="77"/>
      <c r="U151" s="78"/>
      <c r="V151" s="77"/>
      <c r="W151" s="77"/>
      <c r="X151" s="77"/>
      <c r="Y151" s="78"/>
      <c r="Z151" s="77"/>
      <c r="AA151" s="77"/>
      <c r="AB151" s="77"/>
      <c r="AC151" s="77"/>
      <c r="AD151" s="79" t="str">
        <f t="shared" si="8"/>
        <v/>
      </c>
      <c r="AE151" s="80" t="str">
        <f t="shared" si="9"/>
        <v/>
      </c>
      <c r="AF151" s="81"/>
      <c r="AG151" s="77"/>
      <c r="AH151" s="81"/>
      <c r="AI151" s="77"/>
      <c r="AJ151" s="82" t="str">
        <f t="shared" si="10"/>
        <v/>
      </c>
      <c r="AK151" s="83" t="str">
        <f t="shared" si="11"/>
        <v/>
      </c>
    </row>
    <row r="152" spans="2:37" ht="21" x14ac:dyDescent="0.35">
      <c r="B152" s="77"/>
      <c r="C152" s="77"/>
      <c r="D152" s="77"/>
      <c r="E152" s="77"/>
      <c r="F152" s="77"/>
      <c r="G152" s="77"/>
      <c r="H152" s="77"/>
      <c r="I152" s="78"/>
      <c r="J152" s="77"/>
      <c r="K152" s="77"/>
      <c r="L152" s="77"/>
      <c r="M152" s="78"/>
      <c r="N152" s="77"/>
      <c r="O152" s="77"/>
      <c r="P152" s="77"/>
      <c r="Q152" s="78"/>
      <c r="R152" s="77"/>
      <c r="S152" s="77"/>
      <c r="T152" s="77"/>
      <c r="U152" s="78"/>
      <c r="V152" s="77"/>
      <c r="W152" s="77"/>
      <c r="X152" s="77"/>
      <c r="Y152" s="78"/>
      <c r="Z152" s="77"/>
      <c r="AA152" s="77"/>
      <c r="AB152" s="77"/>
      <c r="AC152" s="77"/>
      <c r="AD152" s="79" t="str">
        <f t="shared" si="8"/>
        <v/>
      </c>
      <c r="AE152" s="80" t="str">
        <f t="shared" si="9"/>
        <v/>
      </c>
      <c r="AF152" s="81"/>
      <c r="AG152" s="77"/>
      <c r="AH152" s="81"/>
      <c r="AI152" s="77"/>
      <c r="AJ152" s="82" t="str">
        <f t="shared" si="10"/>
        <v/>
      </c>
      <c r="AK152" s="83" t="str">
        <f t="shared" si="11"/>
        <v/>
      </c>
    </row>
    <row r="153" spans="2:37" ht="21" x14ac:dyDescent="0.35">
      <c r="B153" s="77"/>
      <c r="C153" s="77"/>
      <c r="D153" s="77"/>
      <c r="E153" s="77"/>
      <c r="F153" s="77"/>
      <c r="G153" s="77"/>
      <c r="H153" s="77"/>
      <c r="I153" s="78"/>
      <c r="J153" s="77"/>
      <c r="K153" s="77"/>
      <c r="L153" s="77"/>
      <c r="M153" s="78"/>
      <c r="N153" s="77"/>
      <c r="O153" s="77"/>
      <c r="P153" s="77"/>
      <c r="Q153" s="78"/>
      <c r="R153" s="77"/>
      <c r="S153" s="77"/>
      <c r="T153" s="77"/>
      <c r="U153" s="78"/>
      <c r="V153" s="77"/>
      <c r="W153" s="77"/>
      <c r="X153" s="77"/>
      <c r="Y153" s="78"/>
      <c r="Z153" s="77"/>
      <c r="AA153" s="77"/>
      <c r="AB153" s="77"/>
      <c r="AC153" s="77"/>
      <c r="AD153" s="79" t="str">
        <f t="shared" si="8"/>
        <v/>
      </c>
      <c r="AE153" s="80" t="str">
        <f t="shared" si="9"/>
        <v/>
      </c>
      <c r="AF153" s="81"/>
      <c r="AG153" s="77"/>
      <c r="AH153" s="81"/>
      <c r="AI153" s="77"/>
      <c r="AJ153" s="82" t="str">
        <f t="shared" si="10"/>
        <v/>
      </c>
      <c r="AK153" s="83" t="str">
        <f t="shared" si="11"/>
        <v/>
      </c>
    </row>
    <row r="154" spans="2:37" ht="21" x14ac:dyDescent="0.35">
      <c r="B154" s="77"/>
      <c r="C154" s="77"/>
      <c r="D154" s="77"/>
      <c r="E154" s="77"/>
      <c r="F154" s="77"/>
      <c r="G154" s="77"/>
      <c r="H154" s="77"/>
      <c r="I154" s="78"/>
      <c r="J154" s="77"/>
      <c r="K154" s="77"/>
      <c r="L154" s="77"/>
      <c r="M154" s="78"/>
      <c r="N154" s="77"/>
      <c r="O154" s="77"/>
      <c r="P154" s="77"/>
      <c r="Q154" s="78"/>
      <c r="R154" s="77"/>
      <c r="S154" s="77"/>
      <c r="T154" s="77"/>
      <c r="U154" s="78"/>
      <c r="V154" s="77"/>
      <c r="W154" s="77"/>
      <c r="X154" s="77"/>
      <c r="Y154" s="78"/>
      <c r="Z154" s="77"/>
      <c r="AA154" s="77"/>
      <c r="AB154" s="77"/>
      <c r="AC154" s="77"/>
      <c r="AD154" s="79" t="str">
        <f t="shared" si="8"/>
        <v/>
      </c>
      <c r="AE154" s="80" t="str">
        <f t="shared" si="9"/>
        <v/>
      </c>
      <c r="AF154" s="81"/>
      <c r="AG154" s="77"/>
      <c r="AH154" s="81"/>
      <c r="AI154" s="77"/>
      <c r="AJ154" s="82" t="str">
        <f t="shared" si="10"/>
        <v/>
      </c>
      <c r="AK154" s="83" t="str">
        <f t="shared" si="11"/>
        <v/>
      </c>
    </row>
    <row r="155" spans="2:37" ht="21" x14ac:dyDescent="0.35">
      <c r="B155" s="77"/>
      <c r="C155" s="77"/>
      <c r="D155" s="77"/>
      <c r="E155" s="77"/>
      <c r="F155" s="77"/>
      <c r="G155" s="77"/>
      <c r="H155" s="77"/>
      <c r="I155" s="78"/>
      <c r="J155" s="77"/>
      <c r="K155" s="77"/>
      <c r="L155" s="77"/>
      <c r="M155" s="78"/>
      <c r="N155" s="77"/>
      <c r="O155" s="77"/>
      <c r="P155" s="77"/>
      <c r="Q155" s="78"/>
      <c r="R155" s="77"/>
      <c r="S155" s="77"/>
      <c r="T155" s="77"/>
      <c r="U155" s="78"/>
      <c r="V155" s="77"/>
      <c r="W155" s="77"/>
      <c r="X155" s="77"/>
      <c r="Y155" s="78"/>
      <c r="Z155" s="77"/>
      <c r="AA155" s="77"/>
      <c r="AB155" s="77"/>
      <c r="AC155" s="77"/>
      <c r="AD155" s="79" t="str">
        <f t="shared" si="8"/>
        <v/>
      </c>
      <c r="AE155" s="80" t="str">
        <f t="shared" si="9"/>
        <v/>
      </c>
      <c r="AF155" s="81"/>
      <c r="AG155" s="77"/>
      <c r="AH155" s="81"/>
      <c r="AI155" s="77"/>
      <c r="AJ155" s="82" t="str">
        <f t="shared" si="10"/>
        <v/>
      </c>
      <c r="AK155" s="83" t="str">
        <f t="shared" si="11"/>
        <v/>
      </c>
    </row>
    <row r="156" spans="2:37" ht="21" x14ac:dyDescent="0.35">
      <c r="B156" s="77"/>
      <c r="C156" s="77"/>
      <c r="D156" s="77"/>
      <c r="E156" s="77"/>
      <c r="F156" s="77"/>
      <c r="G156" s="77"/>
      <c r="H156" s="77"/>
      <c r="I156" s="78"/>
      <c r="J156" s="77"/>
      <c r="K156" s="77"/>
      <c r="L156" s="77"/>
      <c r="M156" s="78"/>
      <c r="N156" s="77"/>
      <c r="O156" s="77"/>
      <c r="P156" s="77"/>
      <c r="Q156" s="78"/>
      <c r="R156" s="77"/>
      <c r="S156" s="77"/>
      <c r="T156" s="77"/>
      <c r="U156" s="78"/>
      <c r="V156" s="77"/>
      <c r="W156" s="77"/>
      <c r="X156" s="77"/>
      <c r="Y156" s="78"/>
      <c r="Z156" s="77"/>
      <c r="AA156" s="77"/>
      <c r="AB156" s="77"/>
      <c r="AC156" s="77"/>
      <c r="AD156" s="79" t="str">
        <f t="shared" si="8"/>
        <v/>
      </c>
      <c r="AE156" s="80" t="str">
        <f t="shared" si="9"/>
        <v/>
      </c>
      <c r="AF156" s="81"/>
      <c r="AG156" s="77"/>
      <c r="AH156" s="81"/>
      <c r="AI156" s="77"/>
      <c r="AJ156" s="82" t="str">
        <f t="shared" si="10"/>
        <v/>
      </c>
      <c r="AK156" s="83" t="str">
        <f t="shared" si="11"/>
        <v/>
      </c>
    </row>
    <row r="157" spans="2:37" ht="21" x14ac:dyDescent="0.35">
      <c r="B157" s="77"/>
      <c r="C157" s="77"/>
      <c r="D157" s="77"/>
      <c r="E157" s="77"/>
      <c r="F157" s="77"/>
      <c r="G157" s="77"/>
      <c r="H157" s="77"/>
      <c r="I157" s="78"/>
      <c r="J157" s="77"/>
      <c r="K157" s="77"/>
      <c r="L157" s="77"/>
      <c r="M157" s="78"/>
      <c r="N157" s="77"/>
      <c r="O157" s="77"/>
      <c r="P157" s="77"/>
      <c r="Q157" s="78"/>
      <c r="R157" s="77"/>
      <c r="S157" s="77"/>
      <c r="T157" s="77"/>
      <c r="U157" s="78"/>
      <c r="V157" s="77"/>
      <c r="W157" s="77"/>
      <c r="X157" s="77"/>
      <c r="Y157" s="78"/>
      <c r="Z157" s="77"/>
      <c r="AA157" s="77"/>
      <c r="AB157" s="77"/>
      <c r="AC157" s="77"/>
      <c r="AD157" s="79" t="str">
        <f t="shared" si="8"/>
        <v/>
      </c>
      <c r="AE157" s="80" t="str">
        <f t="shared" si="9"/>
        <v/>
      </c>
      <c r="AF157" s="81"/>
      <c r="AG157" s="77"/>
      <c r="AH157" s="81"/>
      <c r="AI157" s="77"/>
      <c r="AJ157" s="82" t="str">
        <f t="shared" si="10"/>
        <v/>
      </c>
      <c r="AK157" s="83" t="str">
        <f t="shared" si="11"/>
        <v/>
      </c>
    </row>
    <row r="158" spans="2:37" ht="21" x14ac:dyDescent="0.35">
      <c r="B158" s="77"/>
      <c r="C158" s="77"/>
      <c r="D158" s="77"/>
      <c r="E158" s="77"/>
      <c r="F158" s="77"/>
      <c r="G158" s="77"/>
      <c r="H158" s="77"/>
      <c r="I158" s="78"/>
      <c r="J158" s="77"/>
      <c r="K158" s="77"/>
      <c r="L158" s="77"/>
      <c r="M158" s="78"/>
      <c r="N158" s="77"/>
      <c r="O158" s="77"/>
      <c r="P158" s="77"/>
      <c r="Q158" s="78"/>
      <c r="R158" s="77"/>
      <c r="S158" s="77"/>
      <c r="T158" s="77"/>
      <c r="U158" s="78"/>
      <c r="V158" s="77"/>
      <c r="W158" s="77"/>
      <c r="X158" s="77"/>
      <c r="Y158" s="78"/>
      <c r="Z158" s="77"/>
      <c r="AA158" s="77"/>
      <c r="AB158" s="77"/>
      <c r="AC158" s="77"/>
      <c r="AD158" s="79" t="str">
        <f t="shared" si="8"/>
        <v/>
      </c>
      <c r="AE158" s="80" t="str">
        <f t="shared" si="9"/>
        <v/>
      </c>
      <c r="AF158" s="81"/>
      <c r="AG158" s="77"/>
      <c r="AH158" s="81"/>
      <c r="AI158" s="77"/>
      <c r="AJ158" s="82" t="str">
        <f t="shared" si="10"/>
        <v/>
      </c>
      <c r="AK158" s="83" t="str">
        <f t="shared" si="11"/>
        <v/>
      </c>
    </row>
    <row r="159" spans="2:37" ht="21" x14ac:dyDescent="0.35">
      <c r="B159" s="77"/>
      <c r="C159" s="77"/>
      <c r="D159" s="77"/>
      <c r="E159" s="77"/>
      <c r="F159" s="77"/>
      <c r="G159" s="77"/>
      <c r="H159" s="77"/>
      <c r="I159" s="78"/>
      <c r="J159" s="77"/>
      <c r="K159" s="77"/>
      <c r="L159" s="77"/>
      <c r="M159" s="78"/>
      <c r="N159" s="77"/>
      <c r="O159" s="77"/>
      <c r="P159" s="77"/>
      <c r="Q159" s="78"/>
      <c r="R159" s="77"/>
      <c r="S159" s="77"/>
      <c r="T159" s="77"/>
      <c r="U159" s="78"/>
      <c r="V159" s="77"/>
      <c r="W159" s="77"/>
      <c r="X159" s="77"/>
      <c r="Y159" s="78"/>
      <c r="Z159" s="77"/>
      <c r="AA159" s="77"/>
      <c r="AB159" s="77"/>
      <c r="AC159" s="77"/>
      <c r="AD159" s="79" t="str">
        <f t="shared" si="8"/>
        <v/>
      </c>
      <c r="AE159" s="80" t="str">
        <f t="shared" si="9"/>
        <v/>
      </c>
      <c r="AF159" s="81"/>
      <c r="AG159" s="77"/>
      <c r="AH159" s="81"/>
      <c r="AI159" s="77"/>
      <c r="AJ159" s="82" t="str">
        <f t="shared" si="10"/>
        <v/>
      </c>
      <c r="AK159" s="83" t="str">
        <f t="shared" si="11"/>
        <v/>
      </c>
    </row>
    <row r="160" spans="2:37" ht="21" x14ac:dyDescent="0.35">
      <c r="B160" s="77"/>
      <c r="C160" s="77"/>
      <c r="D160" s="77"/>
      <c r="E160" s="77"/>
      <c r="F160" s="77"/>
      <c r="G160" s="77"/>
      <c r="H160" s="77"/>
      <c r="I160" s="78"/>
      <c r="J160" s="77"/>
      <c r="K160" s="77"/>
      <c r="L160" s="77"/>
      <c r="M160" s="78"/>
      <c r="N160" s="77"/>
      <c r="O160" s="77"/>
      <c r="P160" s="77"/>
      <c r="Q160" s="78"/>
      <c r="R160" s="77"/>
      <c r="S160" s="77"/>
      <c r="T160" s="77"/>
      <c r="U160" s="78"/>
      <c r="V160" s="77"/>
      <c r="W160" s="77"/>
      <c r="X160" s="77"/>
      <c r="Y160" s="78"/>
      <c r="Z160" s="77"/>
      <c r="AA160" s="77"/>
      <c r="AB160" s="77"/>
      <c r="AC160" s="77"/>
      <c r="AD160" s="79" t="str">
        <f t="shared" si="8"/>
        <v/>
      </c>
      <c r="AE160" s="80" t="str">
        <f t="shared" si="9"/>
        <v/>
      </c>
      <c r="AF160" s="81"/>
      <c r="AG160" s="77"/>
      <c r="AH160" s="81"/>
      <c r="AI160" s="77"/>
      <c r="AJ160" s="82" t="str">
        <f t="shared" si="10"/>
        <v/>
      </c>
      <c r="AK160" s="83" t="str">
        <f t="shared" si="11"/>
        <v/>
      </c>
    </row>
    <row r="161" spans="2:37" ht="21" x14ac:dyDescent="0.35">
      <c r="B161" s="77"/>
      <c r="C161" s="77"/>
      <c r="D161" s="77"/>
      <c r="E161" s="77"/>
      <c r="F161" s="77"/>
      <c r="G161" s="77"/>
      <c r="H161" s="77"/>
      <c r="I161" s="78"/>
      <c r="J161" s="77"/>
      <c r="K161" s="77"/>
      <c r="L161" s="77"/>
      <c r="M161" s="78"/>
      <c r="N161" s="77"/>
      <c r="O161" s="77"/>
      <c r="P161" s="77"/>
      <c r="Q161" s="78"/>
      <c r="R161" s="77"/>
      <c r="S161" s="77"/>
      <c r="T161" s="77"/>
      <c r="U161" s="78"/>
      <c r="V161" s="77"/>
      <c r="W161" s="77"/>
      <c r="X161" s="77"/>
      <c r="Y161" s="78"/>
      <c r="Z161" s="77"/>
      <c r="AA161" s="77"/>
      <c r="AB161" s="77"/>
      <c r="AC161" s="77"/>
      <c r="AD161" s="79" t="str">
        <f t="shared" si="8"/>
        <v/>
      </c>
      <c r="AE161" s="80" t="str">
        <f t="shared" si="9"/>
        <v/>
      </c>
      <c r="AF161" s="81"/>
      <c r="AG161" s="77"/>
      <c r="AH161" s="81"/>
      <c r="AI161" s="77"/>
      <c r="AJ161" s="82" t="str">
        <f t="shared" si="10"/>
        <v/>
      </c>
      <c r="AK161" s="83" t="str">
        <f t="shared" si="11"/>
        <v/>
      </c>
    </row>
    <row r="162" spans="2:37" ht="21" x14ac:dyDescent="0.35">
      <c r="B162" s="77"/>
      <c r="C162" s="77"/>
      <c r="D162" s="77"/>
      <c r="E162" s="77"/>
      <c r="F162" s="77"/>
      <c r="G162" s="77"/>
      <c r="H162" s="77"/>
      <c r="I162" s="78"/>
      <c r="J162" s="77"/>
      <c r="K162" s="77"/>
      <c r="L162" s="77"/>
      <c r="M162" s="78"/>
      <c r="N162" s="77"/>
      <c r="O162" s="77"/>
      <c r="P162" s="77"/>
      <c r="Q162" s="78"/>
      <c r="R162" s="77"/>
      <c r="S162" s="77"/>
      <c r="T162" s="77"/>
      <c r="U162" s="78"/>
      <c r="V162" s="77"/>
      <c r="W162" s="77"/>
      <c r="X162" s="77"/>
      <c r="Y162" s="78"/>
      <c r="Z162" s="77"/>
      <c r="AA162" s="77"/>
      <c r="AB162" s="77"/>
      <c r="AC162" s="77"/>
      <c r="AD162" s="79" t="str">
        <f t="shared" si="8"/>
        <v/>
      </c>
      <c r="AE162" s="80" t="str">
        <f t="shared" si="9"/>
        <v/>
      </c>
      <c r="AF162" s="81"/>
      <c r="AG162" s="77"/>
      <c r="AH162" s="81"/>
      <c r="AI162" s="77"/>
      <c r="AJ162" s="82" t="str">
        <f t="shared" si="10"/>
        <v/>
      </c>
      <c r="AK162" s="83" t="str">
        <f t="shared" si="11"/>
        <v/>
      </c>
    </row>
    <row r="163" spans="2:37" ht="21" x14ac:dyDescent="0.35">
      <c r="B163" s="77"/>
      <c r="C163" s="77"/>
      <c r="D163" s="77"/>
      <c r="E163" s="77"/>
      <c r="F163" s="77"/>
      <c r="G163" s="77"/>
      <c r="H163" s="77"/>
      <c r="I163" s="78"/>
      <c r="J163" s="77"/>
      <c r="K163" s="77"/>
      <c r="L163" s="77"/>
      <c r="M163" s="78"/>
      <c r="N163" s="77"/>
      <c r="O163" s="77"/>
      <c r="P163" s="77"/>
      <c r="Q163" s="78"/>
      <c r="R163" s="77"/>
      <c r="S163" s="77"/>
      <c r="T163" s="77"/>
      <c r="U163" s="78"/>
      <c r="V163" s="77"/>
      <c r="W163" s="77"/>
      <c r="X163" s="77"/>
      <c r="Y163" s="78"/>
      <c r="Z163" s="77"/>
      <c r="AA163" s="77"/>
      <c r="AB163" s="77"/>
      <c r="AC163" s="77"/>
      <c r="AD163" s="79" t="str">
        <f t="shared" si="8"/>
        <v/>
      </c>
      <c r="AE163" s="80" t="str">
        <f t="shared" si="9"/>
        <v/>
      </c>
      <c r="AF163" s="81"/>
      <c r="AG163" s="77"/>
      <c r="AH163" s="81"/>
      <c r="AI163" s="77"/>
      <c r="AJ163" s="82" t="str">
        <f t="shared" si="10"/>
        <v/>
      </c>
      <c r="AK163" s="83" t="str">
        <f t="shared" si="11"/>
        <v/>
      </c>
    </row>
    <row r="164" spans="2:37" ht="21" x14ac:dyDescent="0.35">
      <c r="B164" s="77"/>
      <c r="C164" s="77"/>
      <c r="D164" s="77"/>
      <c r="E164" s="77"/>
      <c r="F164" s="77"/>
      <c r="G164" s="77"/>
      <c r="H164" s="77"/>
      <c r="I164" s="78"/>
      <c r="J164" s="77"/>
      <c r="K164" s="77"/>
      <c r="L164" s="77"/>
      <c r="M164" s="78"/>
      <c r="N164" s="77"/>
      <c r="O164" s="77"/>
      <c r="P164" s="77"/>
      <c r="Q164" s="78"/>
      <c r="R164" s="77"/>
      <c r="S164" s="77"/>
      <c r="T164" s="77"/>
      <c r="U164" s="78"/>
      <c r="V164" s="77"/>
      <c r="W164" s="77"/>
      <c r="X164" s="77"/>
      <c r="Y164" s="78"/>
      <c r="Z164" s="77"/>
      <c r="AA164" s="77"/>
      <c r="AB164" s="77"/>
      <c r="AC164" s="77"/>
      <c r="AD164" s="79" t="str">
        <f t="shared" si="8"/>
        <v/>
      </c>
      <c r="AE164" s="80" t="str">
        <f t="shared" si="9"/>
        <v/>
      </c>
      <c r="AF164" s="81"/>
      <c r="AG164" s="77"/>
      <c r="AH164" s="81"/>
      <c r="AI164" s="77"/>
      <c r="AJ164" s="82" t="str">
        <f t="shared" si="10"/>
        <v/>
      </c>
      <c r="AK164" s="83" t="str">
        <f t="shared" si="11"/>
        <v/>
      </c>
    </row>
    <row r="165" spans="2:37" ht="21" x14ac:dyDescent="0.35">
      <c r="B165" s="77"/>
      <c r="C165" s="77"/>
      <c r="D165" s="77"/>
      <c r="E165" s="77"/>
      <c r="F165" s="77"/>
      <c r="G165" s="77"/>
      <c r="H165" s="77"/>
      <c r="I165" s="78"/>
      <c r="J165" s="77"/>
      <c r="K165" s="77"/>
      <c r="L165" s="77"/>
      <c r="M165" s="78"/>
      <c r="N165" s="77"/>
      <c r="O165" s="77"/>
      <c r="P165" s="77"/>
      <c r="Q165" s="78"/>
      <c r="R165" s="77"/>
      <c r="S165" s="77"/>
      <c r="T165" s="77"/>
      <c r="U165" s="78"/>
      <c r="V165" s="77"/>
      <c r="W165" s="77"/>
      <c r="X165" s="77"/>
      <c r="Y165" s="78"/>
      <c r="Z165" s="77"/>
      <c r="AA165" s="77"/>
      <c r="AB165" s="77"/>
      <c r="AC165" s="77"/>
      <c r="AD165" s="79" t="str">
        <f t="shared" si="8"/>
        <v/>
      </c>
      <c r="AE165" s="80" t="str">
        <f t="shared" si="9"/>
        <v/>
      </c>
      <c r="AF165" s="81"/>
      <c r="AG165" s="77"/>
      <c r="AH165" s="81"/>
      <c r="AI165" s="77"/>
      <c r="AJ165" s="82" t="str">
        <f t="shared" si="10"/>
        <v/>
      </c>
      <c r="AK165" s="83" t="str">
        <f t="shared" si="11"/>
        <v/>
      </c>
    </row>
    <row r="166" spans="2:37" ht="21" x14ac:dyDescent="0.35">
      <c r="B166" s="77"/>
      <c r="C166" s="77"/>
      <c r="D166" s="77"/>
      <c r="E166" s="77"/>
      <c r="F166" s="77"/>
      <c r="G166" s="77"/>
      <c r="H166" s="77"/>
      <c r="I166" s="78"/>
      <c r="J166" s="77"/>
      <c r="K166" s="77"/>
      <c r="L166" s="77"/>
      <c r="M166" s="78"/>
      <c r="N166" s="77"/>
      <c r="O166" s="77"/>
      <c r="P166" s="77"/>
      <c r="Q166" s="78"/>
      <c r="R166" s="77"/>
      <c r="S166" s="77"/>
      <c r="T166" s="77"/>
      <c r="U166" s="78"/>
      <c r="V166" s="77"/>
      <c r="W166" s="77"/>
      <c r="X166" s="77"/>
      <c r="Y166" s="78"/>
      <c r="Z166" s="77"/>
      <c r="AA166" s="77"/>
      <c r="AB166" s="77"/>
      <c r="AC166" s="77"/>
      <c r="AD166" s="79" t="str">
        <f t="shared" si="8"/>
        <v/>
      </c>
      <c r="AE166" s="80" t="str">
        <f t="shared" si="9"/>
        <v/>
      </c>
      <c r="AF166" s="81"/>
      <c r="AG166" s="77"/>
      <c r="AH166" s="81"/>
      <c r="AI166" s="77"/>
      <c r="AJ166" s="82" t="str">
        <f t="shared" si="10"/>
        <v/>
      </c>
      <c r="AK166" s="83" t="str">
        <f t="shared" si="11"/>
        <v/>
      </c>
    </row>
    <row r="167" spans="2:37" ht="21" x14ac:dyDescent="0.35">
      <c r="B167" s="77"/>
      <c r="C167" s="77"/>
      <c r="D167" s="77"/>
      <c r="E167" s="77"/>
      <c r="F167" s="77"/>
      <c r="G167" s="77"/>
      <c r="H167" s="77"/>
      <c r="I167" s="78"/>
      <c r="J167" s="77"/>
      <c r="K167" s="77"/>
      <c r="L167" s="77"/>
      <c r="M167" s="78"/>
      <c r="N167" s="77"/>
      <c r="O167" s="77"/>
      <c r="P167" s="77"/>
      <c r="Q167" s="78"/>
      <c r="R167" s="77"/>
      <c r="S167" s="77"/>
      <c r="T167" s="77"/>
      <c r="U167" s="78"/>
      <c r="V167" s="77"/>
      <c r="W167" s="77"/>
      <c r="X167" s="77"/>
      <c r="Y167" s="78"/>
      <c r="Z167" s="77"/>
      <c r="AA167" s="77"/>
      <c r="AB167" s="77"/>
      <c r="AC167" s="77"/>
      <c r="AD167" s="79" t="str">
        <f t="shared" si="8"/>
        <v/>
      </c>
      <c r="AE167" s="80" t="str">
        <f t="shared" si="9"/>
        <v/>
      </c>
      <c r="AF167" s="81"/>
      <c r="AG167" s="77"/>
      <c r="AH167" s="81"/>
      <c r="AI167" s="77"/>
      <c r="AJ167" s="82" t="str">
        <f t="shared" si="10"/>
        <v/>
      </c>
      <c r="AK167" s="83" t="str">
        <f t="shared" si="11"/>
        <v/>
      </c>
    </row>
    <row r="168" spans="2:37" ht="21" x14ac:dyDescent="0.35">
      <c r="B168" s="77"/>
      <c r="C168" s="77"/>
      <c r="D168" s="77"/>
      <c r="E168" s="77"/>
      <c r="F168" s="77"/>
      <c r="G168" s="77"/>
      <c r="H168" s="77"/>
      <c r="I168" s="78"/>
      <c r="J168" s="77"/>
      <c r="K168" s="77"/>
      <c r="L168" s="77"/>
      <c r="M168" s="78"/>
      <c r="N168" s="77"/>
      <c r="O168" s="77"/>
      <c r="P168" s="77"/>
      <c r="Q168" s="78"/>
      <c r="R168" s="77"/>
      <c r="S168" s="77"/>
      <c r="T168" s="77"/>
      <c r="U168" s="78"/>
      <c r="V168" s="77"/>
      <c r="W168" s="77"/>
      <c r="X168" s="77"/>
      <c r="Y168" s="78"/>
      <c r="Z168" s="77"/>
      <c r="AA168" s="77"/>
      <c r="AB168" s="77"/>
      <c r="AC168" s="77"/>
      <c r="AD168" s="79" t="str">
        <f t="shared" si="8"/>
        <v/>
      </c>
      <c r="AE168" s="80" t="str">
        <f t="shared" si="9"/>
        <v/>
      </c>
      <c r="AF168" s="81"/>
      <c r="AG168" s="77"/>
      <c r="AH168" s="81"/>
      <c r="AI168" s="77"/>
      <c r="AJ168" s="82" t="str">
        <f t="shared" si="10"/>
        <v/>
      </c>
      <c r="AK168" s="83" t="str">
        <f t="shared" si="11"/>
        <v/>
      </c>
    </row>
    <row r="169" spans="2:37" ht="21" x14ac:dyDescent="0.35">
      <c r="B169" s="77"/>
      <c r="C169" s="77"/>
      <c r="D169" s="77"/>
      <c r="E169" s="77"/>
      <c r="F169" s="77"/>
      <c r="G169" s="77"/>
      <c r="H169" s="77"/>
      <c r="I169" s="78"/>
      <c r="J169" s="77"/>
      <c r="K169" s="77"/>
      <c r="L169" s="77"/>
      <c r="M169" s="78"/>
      <c r="N169" s="77"/>
      <c r="O169" s="77"/>
      <c r="P169" s="77"/>
      <c r="Q169" s="78"/>
      <c r="R169" s="77"/>
      <c r="S169" s="77"/>
      <c r="T169" s="77"/>
      <c r="U169" s="78"/>
      <c r="V169" s="77"/>
      <c r="W169" s="77"/>
      <c r="X169" s="77"/>
      <c r="Y169" s="78"/>
      <c r="Z169" s="77"/>
      <c r="AA169" s="77"/>
      <c r="AB169" s="77"/>
      <c r="AC169" s="77"/>
      <c r="AD169" s="79" t="str">
        <f t="shared" si="8"/>
        <v/>
      </c>
      <c r="AE169" s="80" t="str">
        <f t="shared" si="9"/>
        <v/>
      </c>
      <c r="AF169" s="81"/>
      <c r="AG169" s="77"/>
      <c r="AH169" s="81"/>
      <c r="AI169" s="77"/>
      <c r="AJ169" s="82" t="str">
        <f t="shared" si="10"/>
        <v/>
      </c>
      <c r="AK169" s="83" t="str">
        <f t="shared" si="11"/>
        <v/>
      </c>
    </row>
    <row r="170" spans="2:37" ht="21" x14ac:dyDescent="0.35">
      <c r="B170" s="77"/>
      <c r="C170" s="77"/>
      <c r="D170" s="77"/>
      <c r="E170" s="77"/>
      <c r="F170" s="77"/>
      <c r="G170" s="77"/>
      <c r="H170" s="77"/>
      <c r="I170" s="78"/>
      <c r="J170" s="77"/>
      <c r="K170" s="77"/>
      <c r="L170" s="77"/>
      <c r="M170" s="78"/>
      <c r="N170" s="77"/>
      <c r="O170" s="77"/>
      <c r="P170" s="77"/>
      <c r="Q170" s="78"/>
      <c r="R170" s="77"/>
      <c r="S170" s="77"/>
      <c r="T170" s="77"/>
      <c r="U170" s="78"/>
      <c r="V170" s="77"/>
      <c r="W170" s="77"/>
      <c r="X170" s="77"/>
      <c r="Y170" s="78"/>
      <c r="Z170" s="77"/>
      <c r="AA170" s="77"/>
      <c r="AB170" s="77"/>
      <c r="AC170" s="77"/>
      <c r="AD170" s="79" t="str">
        <f t="shared" si="8"/>
        <v/>
      </c>
      <c r="AE170" s="80" t="str">
        <f t="shared" si="9"/>
        <v/>
      </c>
      <c r="AF170" s="81"/>
      <c r="AG170" s="77"/>
      <c r="AH170" s="81"/>
      <c r="AI170" s="77"/>
      <c r="AJ170" s="82" t="str">
        <f t="shared" si="10"/>
        <v/>
      </c>
      <c r="AK170" s="83" t="str">
        <f t="shared" si="11"/>
        <v/>
      </c>
    </row>
    <row r="171" spans="2:37" ht="21" x14ac:dyDescent="0.35">
      <c r="B171" s="77"/>
      <c r="C171" s="77"/>
      <c r="D171" s="77"/>
      <c r="E171" s="77"/>
      <c r="F171" s="77"/>
      <c r="G171" s="77"/>
      <c r="H171" s="77"/>
      <c r="I171" s="78"/>
      <c r="J171" s="77"/>
      <c r="K171" s="77"/>
      <c r="L171" s="77"/>
      <c r="M171" s="78"/>
      <c r="N171" s="77"/>
      <c r="O171" s="77"/>
      <c r="P171" s="77"/>
      <c r="Q171" s="78"/>
      <c r="R171" s="77"/>
      <c r="S171" s="77"/>
      <c r="T171" s="77"/>
      <c r="U171" s="78"/>
      <c r="V171" s="77"/>
      <c r="W171" s="77"/>
      <c r="X171" s="77"/>
      <c r="Y171" s="78"/>
      <c r="Z171" s="77"/>
      <c r="AA171" s="77"/>
      <c r="AB171" s="77"/>
      <c r="AC171" s="77"/>
      <c r="AD171" s="79" t="str">
        <f t="shared" si="8"/>
        <v/>
      </c>
      <c r="AE171" s="80" t="str">
        <f t="shared" si="9"/>
        <v/>
      </c>
      <c r="AF171" s="81"/>
      <c r="AG171" s="77"/>
      <c r="AH171" s="81"/>
      <c r="AI171" s="77"/>
      <c r="AJ171" s="82" t="str">
        <f t="shared" si="10"/>
        <v/>
      </c>
      <c r="AK171" s="83" t="str">
        <f t="shared" si="11"/>
        <v/>
      </c>
    </row>
    <row r="172" spans="2:37" ht="21" x14ac:dyDescent="0.35">
      <c r="B172" s="77"/>
      <c r="C172" s="77"/>
      <c r="D172" s="77"/>
      <c r="E172" s="77"/>
      <c r="F172" s="77"/>
      <c r="G172" s="77"/>
      <c r="H172" s="77"/>
      <c r="I172" s="78"/>
      <c r="J172" s="77"/>
      <c r="K172" s="77"/>
      <c r="L172" s="77"/>
      <c r="M172" s="78"/>
      <c r="N172" s="77"/>
      <c r="O172" s="77"/>
      <c r="P172" s="77"/>
      <c r="Q172" s="78"/>
      <c r="R172" s="77"/>
      <c r="S172" s="77"/>
      <c r="T172" s="77"/>
      <c r="U172" s="78"/>
      <c r="V172" s="77"/>
      <c r="W172" s="77"/>
      <c r="X172" s="77"/>
      <c r="Y172" s="78"/>
      <c r="Z172" s="77"/>
      <c r="AA172" s="77"/>
      <c r="AB172" s="77"/>
      <c r="AC172" s="77"/>
      <c r="AD172" s="79" t="str">
        <f t="shared" si="8"/>
        <v/>
      </c>
      <c r="AE172" s="80" t="str">
        <f t="shared" si="9"/>
        <v/>
      </c>
      <c r="AF172" s="81"/>
      <c r="AG172" s="77"/>
      <c r="AH172" s="81"/>
      <c r="AI172" s="77"/>
      <c r="AJ172" s="82" t="str">
        <f t="shared" si="10"/>
        <v/>
      </c>
      <c r="AK172" s="83" t="str">
        <f t="shared" si="11"/>
        <v/>
      </c>
    </row>
    <row r="173" spans="2:37" ht="21" x14ac:dyDescent="0.35">
      <c r="B173" s="77"/>
      <c r="C173" s="77"/>
      <c r="D173" s="77"/>
      <c r="E173" s="77"/>
      <c r="F173" s="77"/>
      <c r="G173" s="77"/>
      <c r="H173" s="77"/>
      <c r="I173" s="78"/>
      <c r="J173" s="77"/>
      <c r="K173" s="77"/>
      <c r="L173" s="77"/>
      <c r="M173" s="78"/>
      <c r="N173" s="77"/>
      <c r="O173" s="77"/>
      <c r="P173" s="77"/>
      <c r="Q173" s="78"/>
      <c r="R173" s="77"/>
      <c r="S173" s="77"/>
      <c r="T173" s="77"/>
      <c r="U173" s="78"/>
      <c r="V173" s="77"/>
      <c r="W173" s="77"/>
      <c r="X173" s="77"/>
      <c r="Y173" s="78"/>
      <c r="Z173" s="77"/>
      <c r="AA173" s="77"/>
      <c r="AB173" s="77"/>
      <c r="AC173" s="77"/>
      <c r="AD173" s="79" t="str">
        <f t="shared" si="8"/>
        <v/>
      </c>
      <c r="AE173" s="80" t="str">
        <f t="shared" si="9"/>
        <v/>
      </c>
      <c r="AF173" s="81"/>
      <c r="AG173" s="77"/>
      <c r="AH173" s="81"/>
      <c r="AI173" s="77"/>
      <c r="AJ173" s="82" t="str">
        <f t="shared" si="10"/>
        <v/>
      </c>
      <c r="AK173" s="83" t="str">
        <f t="shared" si="11"/>
        <v/>
      </c>
    </row>
    <row r="174" spans="2:37" ht="21" x14ac:dyDescent="0.35">
      <c r="B174" s="77"/>
      <c r="C174" s="77"/>
      <c r="D174" s="77"/>
      <c r="E174" s="77"/>
      <c r="F174" s="77"/>
      <c r="G174" s="77"/>
      <c r="H174" s="77"/>
      <c r="I174" s="78"/>
      <c r="J174" s="77"/>
      <c r="K174" s="77"/>
      <c r="L174" s="77"/>
      <c r="M174" s="78"/>
      <c r="N174" s="77"/>
      <c r="O174" s="77"/>
      <c r="P174" s="77"/>
      <c r="Q174" s="78"/>
      <c r="R174" s="77"/>
      <c r="S174" s="77"/>
      <c r="T174" s="77"/>
      <c r="U174" s="78"/>
      <c r="V174" s="77"/>
      <c r="W174" s="77"/>
      <c r="X174" s="77"/>
      <c r="Y174" s="78"/>
      <c r="Z174" s="77"/>
      <c r="AA174" s="77"/>
      <c r="AB174" s="77"/>
      <c r="AC174" s="77"/>
      <c r="AD174" s="79" t="str">
        <f t="shared" si="8"/>
        <v/>
      </c>
      <c r="AE174" s="80" t="str">
        <f t="shared" si="9"/>
        <v/>
      </c>
      <c r="AF174" s="81"/>
      <c r="AG174" s="77"/>
      <c r="AH174" s="81"/>
      <c r="AI174" s="77"/>
      <c r="AJ174" s="82" t="str">
        <f t="shared" si="10"/>
        <v/>
      </c>
      <c r="AK174" s="83" t="str">
        <f t="shared" si="11"/>
        <v/>
      </c>
    </row>
    <row r="175" spans="2:37" ht="21" x14ac:dyDescent="0.35">
      <c r="B175" s="77"/>
      <c r="C175" s="77"/>
      <c r="D175" s="77"/>
      <c r="E175" s="77"/>
      <c r="F175" s="77"/>
      <c r="G175" s="77"/>
      <c r="H175" s="77"/>
      <c r="I175" s="78"/>
      <c r="J175" s="77"/>
      <c r="K175" s="77"/>
      <c r="L175" s="77"/>
      <c r="M175" s="78"/>
      <c r="N175" s="77"/>
      <c r="O175" s="77"/>
      <c r="P175" s="77"/>
      <c r="Q175" s="78"/>
      <c r="R175" s="77"/>
      <c r="S175" s="77"/>
      <c r="T175" s="77"/>
      <c r="U175" s="78"/>
      <c r="V175" s="77"/>
      <c r="W175" s="77"/>
      <c r="X175" s="77"/>
      <c r="Y175" s="78"/>
      <c r="Z175" s="77"/>
      <c r="AA175" s="77"/>
      <c r="AB175" s="77"/>
      <c r="AC175" s="77"/>
      <c r="AD175" s="79" t="str">
        <f t="shared" si="8"/>
        <v/>
      </c>
      <c r="AE175" s="80" t="str">
        <f t="shared" si="9"/>
        <v/>
      </c>
      <c r="AF175" s="81"/>
      <c r="AG175" s="77"/>
      <c r="AH175" s="81"/>
      <c r="AI175" s="77"/>
      <c r="AJ175" s="82" t="str">
        <f t="shared" si="10"/>
        <v/>
      </c>
      <c r="AK175" s="83" t="str">
        <f t="shared" si="11"/>
        <v/>
      </c>
    </row>
    <row r="176" spans="2:37" ht="21" x14ac:dyDescent="0.35">
      <c r="B176" s="77"/>
      <c r="C176" s="77"/>
      <c r="D176" s="77"/>
      <c r="E176" s="77"/>
      <c r="F176" s="77"/>
      <c r="G176" s="77"/>
      <c r="H176" s="77"/>
      <c r="I176" s="78"/>
      <c r="J176" s="77"/>
      <c r="K176" s="77"/>
      <c r="L176" s="77"/>
      <c r="M176" s="78"/>
      <c r="N176" s="77"/>
      <c r="O176" s="77"/>
      <c r="P176" s="77"/>
      <c r="Q176" s="78"/>
      <c r="R176" s="77"/>
      <c r="S176" s="77"/>
      <c r="T176" s="77"/>
      <c r="U176" s="78"/>
      <c r="V176" s="77"/>
      <c r="W176" s="77"/>
      <c r="X176" s="77"/>
      <c r="Y176" s="78"/>
      <c r="Z176" s="77"/>
      <c r="AA176" s="77"/>
      <c r="AB176" s="77"/>
      <c r="AC176" s="77"/>
      <c r="AD176" s="79" t="str">
        <f t="shared" si="8"/>
        <v/>
      </c>
      <c r="AE176" s="80" t="str">
        <f t="shared" si="9"/>
        <v/>
      </c>
      <c r="AF176" s="81"/>
      <c r="AG176" s="77"/>
      <c r="AH176" s="81"/>
      <c r="AI176" s="77"/>
      <c r="AJ176" s="82" t="str">
        <f t="shared" si="10"/>
        <v/>
      </c>
      <c r="AK176" s="83" t="str">
        <f t="shared" si="11"/>
        <v/>
      </c>
    </row>
    <row r="177" spans="2:37" ht="21" x14ac:dyDescent="0.35">
      <c r="B177" s="77"/>
      <c r="C177" s="77"/>
      <c r="D177" s="77"/>
      <c r="E177" s="77"/>
      <c r="F177" s="77"/>
      <c r="G177" s="77"/>
      <c r="H177" s="77"/>
      <c r="I177" s="78"/>
      <c r="J177" s="77"/>
      <c r="K177" s="77"/>
      <c r="L177" s="77"/>
      <c r="M177" s="78"/>
      <c r="N177" s="77"/>
      <c r="O177" s="77"/>
      <c r="P177" s="77"/>
      <c r="Q177" s="78"/>
      <c r="R177" s="77"/>
      <c r="S177" s="77"/>
      <c r="T177" s="77"/>
      <c r="U177" s="78"/>
      <c r="V177" s="77"/>
      <c r="W177" s="77"/>
      <c r="X177" s="77"/>
      <c r="Y177" s="78"/>
      <c r="Z177" s="77"/>
      <c r="AA177" s="77"/>
      <c r="AB177" s="77"/>
      <c r="AC177" s="77"/>
      <c r="AD177" s="79" t="str">
        <f t="shared" si="8"/>
        <v/>
      </c>
      <c r="AE177" s="80" t="str">
        <f t="shared" si="9"/>
        <v/>
      </c>
      <c r="AF177" s="81"/>
      <c r="AG177" s="77"/>
      <c r="AH177" s="81"/>
      <c r="AI177" s="77"/>
      <c r="AJ177" s="82" t="str">
        <f t="shared" si="10"/>
        <v/>
      </c>
      <c r="AK177" s="83" t="str">
        <f t="shared" si="11"/>
        <v/>
      </c>
    </row>
    <row r="178" spans="2:37" ht="21" x14ac:dyDescent="0.35">
      <c r="B178" s="77"/>
      <c r="C178" s="77"/>
      <c r="D178" s="77"/>
      <c r="E178" s="77"/>
      <c r="F178" s="77"/>
      <c r="G178" s="77"/>
      <c r="H178" s="77"/>
      <c r="I178" s="78"/>
      <c r="J178" s="77"/>
      <c r="K178" s="77"/>
      <c r="L178" s="77"/>
      <c r="M178" s="78"/>
      <c r="N178" s="77"/>
      <c r="O178" s="77"/>
      <c r="P178" s="77"/>
      <c r="Q178" s="78"/>
      <c r="R178" s="77"/>
      <c r="S178" s="77"/>
      <c r="T178" s="77"/>
      <c r="U178" s="78"/>
      <c r="V178" s="77"/>
      <c r="W178" s="77"/>
      <c r="X178" s="77"/>
      <c r="Y178" s="78"/>
      <c r="Z178" s="77"/>
      <c r="AA178" s="77"/>
      <c r="AB178" s="77"/>
      <c r="AC178" s="77"/>
      <c r="AD178" s="79" t="str">
        <f t="shared" si="8"/>
        <v/>
      </c>
      <c r="AE178" s="80" t="str">
        <f t="shared" si="9"/>
        <v/>
      </c>
      <c r="AF178" s="81"/>
      <c r="AG178" s="77"/>
      <c r="AH178" s="81"/>
      <c r="AI178" s="77"/>
      <c r="AJ178" s="82" t="str">
        <f t="shared" si="10"/>
        <v/>
      </c>
      <c r="AK178" s="83" t="str">
        <f t="shared" si="11"/>
        <v/>
      </c>
    </row>
    <row r="179" spans="2:37" ht="21" x14ac:dyDescent="0.35">
      <c r="B179" s="77"/>
      <c r="C179" s="77"/>
      <c r="D179" s="77"/>
      <c r="E179" s="77"/>
      <c r="F179" s="77"/>
      <c r="G179" s="77"/>
      <c r="H179" s="77"/>
      <c r="I179" s="78"/>
      <c r="J179" s="77"/>
      <c r="K179" s="77"/>
      <c r="L179" s="77"/>
      <c r="M179" s="78"/>
      <c r="N179" s="77"/>
      <c r="O179" s="77"/>
      <c r="P179" s="77"/>
      <c r="Q179" s="78"/>
      <c r="R179" s="77"/>
      <c r="S179" s="77"/>
      <c r="T179" s="77"/>
      <c r="U179" s="78"/>
      <c r="V179" s="77"/>
      <c r="W179" s="77"/>
      <c r="X179" s="77"/>
      <c r="Y179" s="78"/>
      <c r="Z179" s="77"/>
      <c r="AA179" s="77"/>
      <c r="AB179" s="77"/>
      <c r="AC179" s="77"/>
      <c r="AD179" s="79" t="str">
        <f t="shared" si="8"/>
        <v/>
      </c>
      <c r="AE179" s="80" t="str">
        <f t="shared" si="9"/>
        <v/>
      </c>
      <c r="AF179" s="81"/>
      <c r="AG179" s="77"/>
      <c r="AH179" s="81"/>
      <c r="AI179" s="77"/>
      <c r="AJ179" s="82" t="str">
        <f t="shared" si="10"/>
        <v/>
      </c>
      <c r="AK179" s="83" t="str">
        <f t="shared" si="11"/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 t="shared" si="8"/>
        <v/>
      </c>
      <c r="AE180" s="80" t="str">
        <f t="shared" si="9"/>
        <v/>
      </c>
      <c r="AF180" s="81"/>
      <c r="AG180" s="77"/>
      <c r="AH180" s="81"/>
      <c r="AI180" s="77"/>
      <c r="AJ180" s="82" t="str">
        <f t="shared" si="10"/>
        <v/>
      </c>
      <c r="AK180" s="83" t="str">
        <f t="shared" si="11"/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 t="shared" si="8"/>
        <v/>
      </c>
      <c r="AE181" s="80" t="str">
        <f t="shared" si="9"/>
        <v/>
      </c>
      <c r="AF181" s="81"/>
      <c r="AG181" s="77"/>
      <c r="AH181" s="81"/>
      <c r="AI181" s="77"/>
      <c r="AJ181" s="82" t="str">
        <f t="shared" si="10"/>
        <v/>
      </c>
      <c r="AK181" s="83" t="str">
        <f t="shared" si="11"/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 t="shared" si="8"/>
        <v/>
      </c>
      <c r="AE182" s="80" t="str">
        <f t="shared" si="9"/>
        <v/>
      </c>
      <c r="AF182" s="81"/>
      <c r="AG182" s="77"/>
      <c r="AH182" s="81"/>
      <c r="AI182" s="77"/>
      <c r="AJ182" s="82" t="str">
        <f t="shared" si="10"/>
        <v/>
      </c>
      <c r="AK182" s="83" t="str">
        <f t="shared" si="11"/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 t="shared" si="8"/>
        <v/>
      </c>
      <c r="AE183" s="80" t="str">
        <f t="shared" si="9"/>
        <v/>
      </c>
      <c r="AF183" s="81"/>
      <c r="AG183" s="77"/>
      <c r="AH183" s="81"/>
      <c r="AI183" s="77"/>
      <c r="AJ183" s="82" t="str">
        <f t="shared" si="10"/>
        <v/>
      </c>
      <c r="AK183" s="83" t="str">
        <f t="shared" si="11"/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 t="shared" si="8"/>
        <v/>
      </c>
      <c r="AE184" s="80" t="str">
        <f t="shared" si="9"/>
        <v/>
      </c>
      <c r="AF184" s="81"/>
      <c r="AG184" s="77"/>
      <c r="AH184" s="81"/>
      <c r="AI184" s="77"/>
      <c r="AJ184" s="82" t="str">
        <f t="shared" si="10"/>
        <v/>
      </c>
      <c r="AK184" s="83" t="str">
        <f t="shared" si="11"/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 t="shared" si="8"/>
        <v/>
      </c>
      <c r="AE185" s="80" t="str">
        <f t="shared" si="9"/>
        <v/>
      </c>
      <c r="AF185" s="81"/>
      <c r="AG185" s="77"/>
      <c r="AH185" s="81"/>
      <c r="AI185" s="77"/>
      <c r="AJ185" s="82" t="str">
        <f t="shared" si="10"/>
        <v/>
      </c>
      <c r="AK185" s="83" t="str">
        <f t="shared" si="11"/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 t="shared" si="8"/>
        <v/>
      </c>
      <c r="AE186" s="80" t="str">
        <f t="shared" si="9"/>
        <v/>
      </c>
      <c r="AF186" s="81"/>
      <c r="AG186" s="77"/>
      <c r="AH186" s="81"/>
      <c r="AI186" s="77"/>
      <c r="AJ186" s="82" t="str">
        <f t="shared" si="10"/>
        <v/>
      </c>
      <c r="AK186" s="83" t="str">
        <f t="shared" si="11"/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 t="shared" si="8"/>
        <v/>
      </c>
      <c r="AE187" s="80" t="str">
        <f t="shared" si="9"/>
        <v/>
      </c>
      <c r="AF187" s="81"/>
      <c r="AG187" s="77"/>
      <c r="AH187" s="81"/>
      <c r="AI187" s="77"/>
      <c r="AJ187" s="82" t="str">
        <f t="shared" si="10"/>
        <v/>
      </c>
      <c r="AK187" s="83" t="str">
        <f t="shared" si="11"/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 t="shared" si="8"/>
        <v/>
      </c>
      <c r="AE188" s="80" t="str">
        <f t="shared" si="9"/>
        <v/>
      </c>
      <c r="AF188" s="81"/>
      <c r="AG188" s="77"/>
      <c r="AH188" s="81"/>
      <c r="AI188" s="77"/>
      <c r="AJ188" s="82" t="str">
        <f t="shared" si="10"/>
        <v/>
      </c>
      <c r="AK188" s="83" t="str">
        <f t="shared" si="11"/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 t="shared" si="8"/>
        <v/>
      </c>
      <c r="AE189" s="80" t="str">
        <f t="shared" si="9"/>
        <v/>
      </c>
      <c r="AF189" s="81"/>
      <c r="AG189" s="77"/>
      <c r="AH189" s="81"/>
      <c r="AI189" s="77"/>
      <c r="AJ189" s="82" t="str">
        <f t="shared" si="10"/>
        <v/>
      </c>
      <c r="AK189" s="83" t="str">
        <f t="shared" si="11"/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 t="shared" si="8"/>
        <v/>
      </c>
      <c r="AE190" s="80" t="str">
        <f t="shared" si="9"/>
        <v/>
      </c>
      <c r="AF190" s="81"/>
      <c r="AG190" s="77"/>
      <c r="AH190" s="81"/>
      <c r="AI190" s="77"/>
      <c r="AJ190" s="82" t="str">
        <f t="shared" si="10"/>
        <v/>
      </c>
      <c r="AK190" s="83" t="str">
        <f t="shared" si="11"/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 t="shared" si="8"/>
        <v/>
      </c>
      <c r="AE191" s="80" t="str">
        <f t="shared" si="9"/>
        <v/>
      </c>
      <c r="AF191" s="81"/>
      <c r="AG191" s="77"/>
      <c r="AH191" s="81"/>
      <c r="AI191" s="77"/>
      <c r="AJ191" s="82" t="str">
        <f t="shared" si="10"/>
        <v/>
      </c>
      <c r="AK191" s="83" t="str">
        <f t="shared" si="11"/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 t="shared" si="8"/>
        <v/>
      </c>
      <c r="AE192" s="80" t="str">
        <f t="shared" si="9"/>
        <v/>
      </c>
      <c r="AF192" s="81"/>
      <c r="AG192" s="77"/>
      <c r="AH192" s="81"/>
      <c r="AI192" s="77"/>
      <c r="AJ192" s="82" t="str">
        <f t="shared" si="10"/>
        <v/>
      </c>
      <c r="AK192" s="83" t="str">
        <f t="shared" si="11"/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 t="shared" si="8"/>
        <v/>
      </c>
      <c r="AE193" s="80" t="str">
        <f t="shared" si="9"/>
        <v/>
      </c>
      <c r="AF193" s="81"/>
      <c r="AG193" s="77"/>
      <c r="AH193" s="81"/>
      <c r="AI193" s="77"/>
      <c r="AJ193" s="82" t="str">
        <f t="shared" si="10"/>
        <v/>
      </c>
      <c r="AK193" s="83" t="str">
        <f t="shared" si="11"/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 t="shared" si="8"/>
        <v/>
      </c>
      <c r="AE194" s="80" t="str">
        <f t="shared" si="9"/>
        <v/>
      </c>
      <c r="AF194" s="81"/>
      <c r="AG194" s="77"/>
      <c r="AH194" s="81"/>
      <c r="AI194" s="77"/>
      <c r="AJ194" s="82" t="str">
        <f t="shared" si="10"/>
        <v/>
      </c>
      <c r="AK194" s="83" t="str">
        <f t="shared" si="11"/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 t="shared" si="8"/>
        <v/>
      </c>
      <c r="AE195" s="80" t="str">
        <f t="shared" si="9"/>
        <v/>
      </c>
      <c r="AF195" s="81"/>
      <c r="AG195" s="77"/>
      <c r="AH195" s="81"/>
      <c r="AI195" s="77"/>
      <c r="AJ195" s="82" t="str">
        <f t="shared" si="10"/>
        <v/>
      </c>
      <c r="AK195" s="83" t="str">
        <f t="shared" si="11"/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 t="shared" ref="AD196:AD259" si="12">IF(MIN(F196,J196,N196,R196,V196,Z196)&lt;&gt;0,MIN(F196,J196,N196,R196,V196,Z196),"")</f>
        <v/>
      </c>
      <c r="AE196" s="80" t="str">
        <f t="shared" ref="AE196:AE259" si="13">IF(MIN(H196,L196,P196,T196,X196,AB196)&lt;&gt;0,MIN(H196,L196,P196,T196,X196,AB196),"")</f>
        <v/>
      </c>
      <c r="AF196" s="81"/>
      <c r="AG196" s="77"/>
      <c r="AH196" s="81"/>
      <c r="AI196" s="77"/>
      <c r="AJ196" s="82" t="str">
        <f t="shared" ref="AJ196:AJ259" si="14">IF(AD196="","",IF(ISBLANK(AF196),"En cours",AD196+AF196))</f>
        <v/>
      </c>
      <c r="AK196" s="83" t="str">
        <f t="shared" ref="AK196:AK259" si="15"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 t="shared" si="12"/>
        <v/>
      </c>
      <c r="AE197" s="80" t="str">
        <f t="shared" si="13"/>
        <v/>
      </c>
      <c r="AF197" s="81"/>
      <c r="AG197" s="77"/>
      <c r="AH197" s="81"/>
      <c r="AI197" s="77"/>
      <c r="AJ197" s="82" t="str">
        <f t="shared" si="14"/>
        <v/>
      </c>
      <c r="AK197" s="83" t="str">
        <f t="shared" si="15"/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 t="shared" si="12"/>
        <v/>
      </c>
      <c r="AE198" s="80" t="str">
        <f t="shared" si="13"/>
        <v/>
      </c>
      <c r="AF198" s="81"/>
      <c r="AG198" s="77"/>
      <c r="AH198" s="81"/>
      <c r="AI198" s="77"/>
      <c r="AJ198" s="82" t="str">
        <f t="shared" si="14"/>
        <v/>
      </c>
      <c r="AK198" s="83" t="str">
        <f t="shared" si="15"/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 t="shared" si="12"/>
        <v/>
      </c>
      <c r="AE199" s="80" t="str">
        <f t="shared" si="13"/>
        <v/>
      </c>
      <c r="AF199" s="81"/>
      <c r="AG199" s="77"/>
      <c r="AH199" s="81"/>
      <c r="AI199" s="77"/>
      <c r="AJ199" s="82" t="str">
        <f t="shared" si="14"/>
        <v/>
      </c>
      <c r="AK199" s="83" t="str">
        <f t="shared" si="15"/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 t="shared" si="12"/>
        <v/>
      </c>
      <c r="AE200" s="80" t="str">
        <f t="shared" si="13"/>
        <v/>
      </c>
      <c r="AF200" s="81"/>
      <c r="AG200" s="77"/>
      <c r="AH200" s="81"/>
      <c r="AI200" s="77"/>
      <c r="AJ200" s="82" t="str">
        <f t="shared" si="14"/>
        <v/>
      </c>
      <c r="AK200" s="83" t="str">
        <f t="shared" si="15"/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 t="shared" si="12"/>
        <v/>
      </c>
      <c r="AE201" s="80" t="str">
        <f t="shared" si="13"/>
        <v/>
      </c>
      <c r="AF201" s="81"/>
      <c r="AG201" s="77"/>
      <c r="AH201" s="81"/>
      <c r="AI201" s="77"/>
      <c r="AJ201" s="82" t="str">
        <f t="shared" si="14"/>
        <v/>
      </c>
      <c r="AK201" s="83" t="str">
        <f t="shared" si="15"/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 t="shared" si="12"/>
        <v/>
      </c>
      <c r="AE202" s="80" t="str">
        <f t="shared" si="13"/>
        <v/>
      </c>
      <c r="AF202" s="81"/>
      <c r="AG202" s="77"/>
      <c r="AH202" s="81"/>
      <c r="AI202" s="77"/>
      <c r="AJ202" s="82" t="str">
        <f t="shared" si="14"/>
        <v/>
      </c>
      <c r="AK202" s="83" t="str">
        <f t="shared" si="15"/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 t="shared" si="12"/>
        <v/>
      </c>
      <c r="AE203" s="80" t="str">
        <f t="shared" si="13"/>
        <v/>
      </c>
      <c r="AF203" s="81"/>
      <c r="AG203" s="77"/>
      <c r="AH203" s="81"/>
      <c r="AI203" s="77"/>
      <c r="AJ203" s="82" t="str">
        <f t="shared" si="14"/>
        <v/>
      </c>
      <c r="AK203" s="83" t="str">
        <f t="shared" si="15"/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 t="shared" si="12"/>
        <v/>
      </c>
      <c r="AE204" s="80" t="str">
        <f t="shared" si="13"/>
        <v/>
      </c>
      <c r="AF204" s="81"/>
      <c r="AG204" s="77"/>
      <c r="AH204" s="81"/>
      <c r="AI204" s="77"/>
      <c r="AJ204" s="82" t="str">
        <f t="shared" si="14"/>
        <v/>
      </c>
      <c r="AK204" s="83" t="str">
        <f t="shared" si="15"/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 t="shared" si="12"/>
        <v/>
      </c>
      <c r="AE205" s="80" t="str">
        <f t="shared" si="13"/>
        <v/>
      </c>
      <c r="AF205" s="81"/>
      <c r="AG205" s="77"/>
      <c r="AH205" s="81"/>
      <c r="AI205" s="77"/>
      <c r="AJ205" s="82" t="str">
        <f t="shared" si="14"/>
        <v/>
      </c>
      <c r="AK205" s="83" t="str">
        <f t="shared" si="15"/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 t="shared" si="12"/>
        <v/>
      </c>
      <c r="AE206" s="80" t="str">
        <f t="shared" si="13"/>
        <v/>
      </c>
      <c r="AF206" s="81"/>
      <c r="AG206" s="77"/>
      <c r="AH206" s="81"/>
      <c r="AI206" s="77"/>
      <c r="AJ206" s="82" t="str">
        <f t="shared" si="14"/>
        <v/>
      </c>
      <c r="AK206" s="83" t="str">
        <f t="shared" si="15"/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 t="shared" si="12"/>
        <v/>
      </c>
      <c r="AE207" s="80" t="str">
        <f t="shared" si="13"/>
        <v/>
      </c>
      <c r="AF207" s="81"/>
      <c r="AG207" s="77"/>
      <c r="AH207" s="81"/>
      <c r="AI207" s="77"/>
      <c r="AJ207" s="82" t="str">
        <f t="shared" si="14"/>
        <v/>
      </c>
      <c r="AK207" s="83" t="str">
        <f t="shared" si="15"/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 t="shared" si="12"/>
        <v/>
      </c>
      <c r="AE208" s="80" t="str">
        <f t="shared" si="13"/>
        <v/>
      </c>
      <c r="AF208" s="81"/>
      <c r="AG208" s="77"/>
      <c r="AH208" s="81"/>
      <c r="AI208" s="77"/>
      <c r="AJ208" s="82" t="str">
        <f t="shared" si="14"/>
        <v/>
      </c>
      <c r="AK208" s="83" t="str">
        <f t="shared" si="15"/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 t="shared" si="12"/>
        <v/>
      </c>
      <c r="AE209" s="80" t="str">
        <f t="shared" si="13"/>
        <v/>
      </c>
      <c r="AF209" s="81"/>
      <c r="AG209" s="77"/>
      <c r="AH209" s="81"/>
      <c r="AI209" s="77"/>
      <c r="AJ209" s="82" t="str">
        <f t="shared" si="14"/>
        <v/>
      </c>
      <c r="AK209" s="83" t="str">
        <f t="shared" si="15"/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 t="shared" si="12"/>
        <v/>
      </c>
      <c r="AE210" s="80" t="str">
        <f t="shared" si="13"/>
        <v/>
      </c>
      <c r="AF210" s="81"/>
      <c r="AG210" s="77"/>
      <c r="AH210" s="81"/>
      <c r="AI210" s="77"/>
      <c r="AJ210" s="82" t="str">
        <f t="shared" si="14"/>
        <v/>
      </c>
      <c r="AK210" s="83" t="str">
        <f t="shared" si="15"/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 t="shared" si="12"/>
        <v/>
      </c>
      <c r="AE211" s="80" t="str">
        <f t="shared" si="13"/>
        <v/>
      </c>
      <c r="AF211" s="81"/>
      <c r="AG211" s="77"/>
      <c r="AH211" s="81"/>
      <c r="AI211" s="77"/>
      <c r="AJ211" s="82" t="str">
        <f t="shared" si="14"/>
        <v/>
      </c>
      <c r="AK211" s="83" t="str">
        <f t="shared" si="15"/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 t="shared" si="12"/>
        <v/>
      </c>
      <c r="AE212" s="80" t="str">
        <f t="shared" si="13"/>
        <v/>
      </c>
      <c r="AF212" s="81"/>
      <c r="AG212" s="77"/>
      <c r="AH212" s="81"/>
      <c r="AI212" s="77"/>
      <c r="AJ212" s="82" t="str">
        <f t="shared" si="14"/>
        <v/>
      </c>
      <c r="AK212" s="83" t="str">
        <f t="shared" si="15"/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 t="shared" si="12"/>
        <v/>
      </c>
      <c r="AE213" s="80" t="str">
        <f t="shared" si="13"/>
        <v/>
      </c>
      <c r="AF213" s="81"/>
      <c r="AG213" s="77"/>
      <c r="AH213" s="81"/>
      <c r="AI213" s="77"/>
      <c r="AJ213" s="82" t="str">
        <f t="shared" si="14"/>
        <v/>
      </c>
      <c r="AK213" s="83" t="str">
        <f t="shared" si="15"/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 t="shared" si="12"/>
        <v/>
      </c>
      <c r="AE214" s="80" t="str">
        <f t="shared" si="13"/>
        <v/>
      </c>
      <c r="AF214" s="81"/>
      <c r="AG214" s="77"/>
      <c r="AH214" s="81"/>
      <c r="AI214" s="77"/>
      <c r="AJ214" s="82" t="str">
        <f t="shared" si="14"/>
        <v/>
      </c>
      <c r="AK214" s="83" t="str">
        <f t="shared" si="15"/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 t="shared" si="12"/>
        <v/>
      </c>
      <c r="AE215" s="80" t="str">
        <f t="shared" si="13"/>
        <v/>
      </c>
      <c r="AF215" s="81"/>
      <c r="AG215" s="77"/>
      <c r="AH215" s="81"/>
      <c r="AI215" s="77"/>
      <c r="AJ215" s="82" t="str">
        <f t="shared" si="14"/>
        <v/>
      </c>
      <c r="AK215" s="83" t="str">
        <f t="shared" si="15"/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 t="shared" si="12"/>
        <v/>
      </c>
      <c r="AE216" s="80" t="str">
        <f t="shared" si="13"/>
        <v/>
      </c>
      <c r="AF216" s="81"/>
      <c r="AG216" s="77"/>
      <c r="AH216" s="81"/>
      <c r="AI216" s="77"/>
      <c r="AJ216" s="82" t="str">
        <f t="shared" si="14"/>
        <v/>
      </c>
      <c r="AK216" s="83" t="str">
        <f t="shared" si="15"/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 t="shared" si="12"/>
        <v/>
      </c>
      <c r="AE217" s="80" t="str">
        <f t="shared" si="13"/>
        <v/>
      </c>
      <c r="AF217" s="81"/>
      <c r="AG217" s="77"/>
      <c r="AH217" s="81"/>
      <c r="AI217" s="77"/>
      <c r="AJ217" s="82" t="str">
        <f t="shared" si="14"/>
        <v/>
      </c>
      <c r="AK217" s="83" t="str">
        <f t="shared" si="15"/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 t="shared" si="12"/>
        <v/>
      </c>
      <c r="AE218" s="80" t="str">
        <f t="shared" si="13"/>
        <v/>
      </c>
      <c r="AF218" s="81"/>
      <c r="AG218" s="77"/>
      <c r="AH218" s="81"/>
      <c r="AI218" s="77"/>
      <c r="AJ218" s="82" t="str">
        <f t="shared" si="14"/>
        <v/>
      </c>
      <c r="AK218" s="83" t="str">
        <f t="shared" si="15"/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 t="shared" si="12"/>
        <v/>
      </c>
      <c r="AE219" s="80" t="str">
        <f t="shared" si="13"/>
        <v/>
      </c>
      <c r="AF219" s="81"/>
      <c r="AG219" s="77"/>
      <c r="AH219" s="81"/>
      <c r="AI219" s="77"/>
      <c r="AJ219" s="82" t="str">
        <f t="shared" si="14"/>
        <v/>
      </c>
      <c r="AK219" s="83" t="str">
        <f t="shared" si="15"/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 t="shared" si="12"/>
        <v/>
      </c>
      <c r="AE220" s="80" t="str">
        <f t="shared" si="13"/>
        <v/>
      </c>
      <c r="AF220" s="81"/>
      <c r="AG220" s="77"/>
      <c r="AH220" s="81"/>
      <c r="AI220" s="77"/>
      <c r="AJ220" s="82" t="str">
        <f t="shared" si="14"/>
        <v/>
      </c>
      <c r="AK220" s="83" t="str">
        <f t="shared" si="15"/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 t="shared" si="12"/>
        <v/>
      </c>
      <c r="AE221" s="80" t="str">
        <f t="shared" si="13"/>
        <v/>
      </c>
      <c r="AF221" s="81"/>
      <c r="AG221" s="77"/>
      <c r="AH221" s="81"/>
      <c r="AI221" s="77"/>
      <c r="AJ221" s="82" t="str">
        <f t="shared" si="14"/>
        <v/>
      </c>
      <c r="AK221" s="83" t="str">
        <f t="shared" si="15"/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 t="shared" si="12"/>
        <v/>
      </c>
      <c r="AE222" s="80" t="str">
        <f t="shared" si="13"/>
        <v/>
      </c>
      <c r="AF222" s="81"/>
      <c r="AG222" s="77"/>
      <c r="AH222" s="81"/>
      <c r="AI222" s="77"/>
      <c r="AJ222" s="82" t="str">
        <f t="shared" si="14"/>
        <v/>
      </c>
      <c r="AK222" s="83" t="str">
        <f t="shared" si="15"/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 t="shared" si="12"/>
        <v/>
      </c>
      <c r="AE223" s="80" t="str">
        <f t="shared" si="13"/>
        <v/>
      </c>
      <c r="AF223" s="81"/>
      <c r="AG223" s="77"/>
      <c r="AH223" s="81"/>
      <c r="AI223" s="77"/>
      <c r="AJ223" s="82" t="str">
        <f t="shared" si="14"/>
        <v/>
      </c>
      <c r="AK223" s="83" t="str">
        <f t="shared" si="15"/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 t="shared" si="12"/>
        <v/>
      </c>
      <c r="AE224" s="80" t="str">
        <f t="shared" si="13"/>
        <v/>
      </c>
      <c r="AF224" s="81"/>
      <c r="AG224" s="77"/>
      <c r="AH224" s="81"/>
      <c r="AI224" s="77"/>
      <c r="AJ224" s="82" t="str">
        <f t="shared" si="14"/>
        <v/>
      </c>
      <c r="AK224" s="83" t="str">
        <f t="shared" si="15"/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 t="shared" si="12"/>
        <v/>
      </c>
      <c r="AE225" s="80" t="str">
        <f t="shared" si="13"/>
        <v/>
      </c>
      <c r="AF225" s="81"/>
      <c r="AG225" s="77"/>
      <c r="AH225" s="81"/>
      <c r="AI225" s="77"/>
      <c r="AJ225" s="82" t="str">
        <f t="shared" si="14"/>
        <v/>
      </c>
      <c r="AK225" s="83" t="str">
        <f t="shared" si="15"/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 t="shared" si="12"/>
        <v/>
      </c>
      <c r="AE226" s="80" t="str">
        <f t="shared" si="13"/>
        <v/>
      </c>
      <c r="AF226" s="81"/>
      <c r="AG226" s="77"/>
      <c r="AH226" s="81"/>
      <c r="AI226" s="77"/>
      <c r="AJ226" s="82" t="str">
        <f t="shared" si="14"/>
        <v/>
      </c>
      <c r="AK226" s="83" t="str">
        <f t="shared" si="15"/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 t="shared" si="12"/>
        <v/>
      </c>
      <c r="AE227" s="80" t="str">
        <f t="shared" si="13"/>
        <v/>
      </c>
      <c r="AF227" s="81"/>
      <c r="AG227" s="77"/>
      <c r="AH227" s="81"/>
      <c r="AI227" s="77"/>
      <c r="AJ227" s="82" t="str">
        <f t="shared" si="14"/>
        <v/>
      </c>
      <c r="AK227" s="83" t="str">
        <f t="shared" si="15"/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 t="shared" si="12"/>
        <v/>
      </c>
      <c r="AE228" s="80" t="str">
        <f t="shared" si="13"/>
        <v/>
      </c>
      <c r="AF228" s="81"/>
      <c r="AG228" s="77"/>
      <c r="AH228" s="81"/>
      <c r="AI228" s="77"/>
      <c r="AJ228" s="82" t="str">
        <f t="shared" si="14"/>
        <v/>
      </c>
      <c r="AK228" s="83" t="str">
        <f t="shared" si="15"/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 t="shared" si="12"/>
        <v/>
      </c>
      <c r="AE229" s="80" t="str">
        <f t="shared" si="13"/>
        <v/>
      </c>
      <c r="AF229" s="81"/>
      <c r="AG229" s="77"/>
      <c r="AH229" s="81"/>
      <c r="AI229" s="77"/>
      <c r="AJ229" s="82" t="str">
        <f t="shared" si="14"/>
        <v/>
      </c>
      <c r="AK229" s="83" t="str">
        <f t="shared" si="15"/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 t="shared" si="12"/>
        <v/>
      </c>
      <c r="AE230" s="80" t="str">
        <f t="shared" si="13"/>
        <v/>
      </c>
      <c r="AF230" s="81"/>
      <c r="AG230" s="77"/>
      <c r="AH230" s="81"/>
      <c r="AI230" s="77"/>
      <c r="AJ230" s="82" t="str">
        <f t="shared" si="14"/>
        <v/>
      </c>
      <c r="AK230" s="83" t="str">
        <f t="shared" si="15"/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 t="shared" si="12"/>
        <v/>
      </c>
      <c r="AE231" s="80" t="str">
        <f t="shared" si="13"/>
        <v/>
      </c>
      <c r="AF231" s="81"/>
      <c r="AG231" s="77"/>
      <c r="AH231" s="81"/>
      <c r="AI231" s="77"/>
      <c r="AJ231" s="82" t="str">
        <f t="shared" si="14"/>
        <v/>
      </c>
      <c r="AK231" s="83" t="str">
        <f t="shared" si="15"/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 t="shared" si="12"/>
        <v/>
      </c>
      <c r="AE232" s="80" t="str">
        <f t="shared" si="13"/>
        <v/>
      </c>
      <c r="AF232" s="81"/>
      <c r="AG232" s="77"/>
      <c r="AH232" s="81"/>
      <c r="AI232" s="77"/>
      <c r="AJ232" s="82" t="str">
        <f t="shared" si="14"/>
        <v/>
      </c>
      <c r="AK232" s="83" t="str">
        <f t="shared" si="15"/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 t="shared" si="12"/>
        <v/>
      </c>
      <c r="AE233" s="80" t="str">
        <f t="shared" si="13"/>
        <v/>
      </c>
      <c r="AF233" s="81"/>
      <c r="AG233" s="77"/>
      <c r="AH233" s="81"/>
      <c r="AI233" s="77"/>
      <c r="AJ233" s="82" t="str">
        <f t="shared" si="14"/>
        <v/>
      </c>
      <c r="AK233" s="83" t="str">
        <f t="shared" si="15"/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 t="shared" si="12"/>
        <v/>
      </c>
      <c r="AE234" s="80" t="str">
        <f t="shared" si="13"/>
        <v/>
      </c>
      <c r="AF234" s="81"/>
      <c r="AG234" s="77"/>
      <c r="AH234" s="81"/>
      <c r="AI234" s="77"/>
      <c r="AJ234" s="82" t="str">
        <f t="shared" si="14"/>
        <v/>
      </c>
      <c r="AK234" s="83" t="str">
        <f t="shared" si="15"/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 t="shared" si="12"/>
        <v/>
      </c>
      <c r="AE235" s="80" t="str">
        <f t="shared" si="13"/>
        <v/>
      </c>
      <c r="AF235" s="81"/>
      <c r="AG235" s="77"/>
      <c r="AH235" s="81"/>
      <c r="AI235" s="77"/>
      <c r="AJ235" s="82" t="str">
        <f t="shared" si="14"/>
        <v/>
      </c>
      <c r="AK235" s="83" t="str">
        <f t="shared" si="15"/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 t="shared" si="12"/>
        <v/>
      </c>
      <c r="AE236" s="80" t="str">
        <f t="shared" si="13"/>
        <v/>
      </c>
      <c r="AF236" s="81"/>
      <c r="AG236" s="77"/>
      <c r="AH236" s="81"/>
      <c r="AI236" s="77"/>
      <c r="AJ236" s="82" t="str">
        <f t="shared" si="14"/>
        <v/>
      </c>
      <c r="AK236" s="83" t="str">
        <f t="shared" si="15"/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 t="shared" si="12"/>
        <v/>
      </c>
      <c r="AE237" s="80" t="str">
        <f t="shared" si="13"/>
        <v/>
      </c>
      <c r="AF237" s="81"/>
      <c r="AG237" s="77"/>
      <c r="AH237" s="81"/>
      <c r="AI237" s="77"/>
      <c r="AJ237" s="82" t="str">
        <f t="shared" si="14"/>
        <v/>
      </c>
      <c r="AK237" s="83" t="str">
        <f t="shared" si="15"/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 t="shared" si="12"/>
        <v/>
      </c>
      <c r="AE238" s="80" t="str">
        <f t="shared" si="13"/>
        <v/>
      </c>
      <c r="AF238" s="81"/>
      <c r="AG238" s="77"/>
      <c r="AH238" s="81"/>
      <c r="AI238" s="77"/>
      <c r="AJ238" s="82" t="str">
        <f t="shared" si="14"/>
        <v/>
      </c>
      <c r="AK238" s="83" t="str">
        <f t="shared" si="15"/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 t="shared" si="12"/>
        <v/>
      </c>
      <c r="AE239" s="80" t="str">
        <f t="shared" si="13"/>
        <v/>
      </c>
      <c r="AF239" s="81"/>
      <c r="AG239" s="77"/>
      <c r="AH239" s="81"/>
      <c r="AI239" s="77"/>
      <c r="AJ239" s="82" t="str">
        <f t="shared" si="14"/>
        <v/>
      </c>
      <c r="AK239" s="83" t="str">
        <f t="shared" si="15"/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 t="shared" si="12"/>
        <v/>
      </c>
      <c r="AE240" s="80" t="str">
        <f t="shared" si="13"/>
        <v/>
      </c>
      <c r="AF240" s="81"/>
      <c r="AG240" s="77"/>
      <c r="AH240" s="81"/>
      <c r="AI240" s="77"/>
      <c r="AJ240" s="82" t="str">
        <f t="shared" si="14"/>
        <v/>
      </c>
      <c r="AK240" s="83" t="str">
        <f t="shared" si="15"/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 t="shared" si="12"/>
        <v/>
      </c>
      <c r="AE241" s="80" t="str">
        <f t="shared" si="13"/>
        <v/>
      </c>
      <c r="AF241" s="81"/>
      <c r="AG241" s="77"/>
      <c r="AH241" s="81"/>
      <c r="AI241" s="77"/>
      <c r="AJ241" s="82" t="str">
        <f t="shared" si="14"/>
        <v/>
      </c>
      <c r="AK241" s="83" t="str">
        <f t="shared" si="15"/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 t="shared" si="12"/>
        <v/>
      </c>
      <c r="AE242" s="80" t="str">
        <f t="shared" si="13"/>
        <v/>
      </c>
      <c r="AF242" s="81"/>
      <c r="AG242" s="77"/>
      <c r="AH242" s="81"/>
      <c r="AI242" s="77"/>
      <c r="AJ242" s="82" t="str">
        <f t="shared" si="14"/>
        <v/>
      </c>
      <c r="AK242" s="83" t="str">
        <f t="shared" si="15"/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 t="shared" si="12"/>
        <v/>
      </c>
      <c r="AE243" s="80" t="str">
        <f t="shared" si="13"/>
        <v/>
      </c>
      <c r="AF243" s="81"/>
      <c r="AG243" s="77"/>
      <c r="AH243" s="81"/>
      <c r="AI243" s="77"/>
      <c r="AJ243" s="82" t="str">
        <f t="shared" si="14"/>
        <v/>
      </c>
      <c r="AK243" s="83" t="str">
        <f t="shared" si="15"/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 t="shared" si="12"/>
        <v/>
      </c>
      <c r="AE244" s="80" t="str">
        <f t="shared" si="13"/>
        <v/>
      </c>
      <c r="AF244" s="81"/>
      <c r="AG244" s="77"/>
      <c r="AH244" s="81"/>
      <c r="AI244" s="77"/>
      <c r="AJ244" s="82" t="str">
        <f t="shared" si="14"/>
        <v/>
      </c>
      <c r="AK244" s="83" t="str">
        <f t="shared" si="15"/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 t="shared" si="12"/>
        <v/>
      </c>
      <c r="AE245" s="80" t="str">
        <f t="shared" si="13"/>
        <v/>
      </c>
      <c r="AF245" s="81"/>
      <c r="AG245" s="77"/>
      <c r="AH245" s="81"/>
      <c r="AI245" s="77"/>
      <c r="AJ245" s="82" t="str">
        <f t="shared" si="14"/>
        <v/>
      </c>
      <c r="AK245" s="83" t="str">
        <f t="shared" si="15"/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 t="shared" si="12"/>
        <v/>
      </c>
      <c r="AE246" s="80" t="str">
        <f t="shared" si="13"/>
        <v/>
      </c>
      <c r="AF246" s="81"/>
      <c r="AG246" s="77"/>
      <c r="AH246" s="81"/>
      <c r="AI246" s="77"/>
      <c r="AJ246" s="82" t="str">
        <f t="shared" si="14"/>
        <v/>
      </c>
      <c r="AK246" s="83" t="str">
        <f t="shared" si="15"/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 t="shared" si="12"/>
        <v/>
      </c>
      <c r="AE247" s="80" t="str">
        <f t="shared" si="13"/>
        <v/>
      </c>
      <c r="AF247" s="81"/>
      <c r="AG247" s="77"/>
      <c r="AH247" s="81"/>
      <c r="AI247" s="77"/>
      <c r="AJ247" s="82" t="str">
        <f t="shared" si="14"/>
        <v/>
      </c>
      <c r="AK247" s="83" t="str">
        <f t="shared" si="15"/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 t="shared" si="12"/>
        <v/>
      </c>
      <c r="AE248" s="80" t="str">
        <f t="shared" si="13"/>
        <v/>
      </c>
      <c r="AF248" s="81"/>
      <c r="AG248" s="77"/>
      <c r="AH248" s="81"/>
      <c r="AI248" s="77"/>
      <c r="AJ248" s="82" t="str">
        <f t="shared" si="14"/>
        <v/>
      </c>
      <c r="AK248" s="83" t="str">
        <f t="shared" si="15"/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 t="shared" si="12"/>
        <v/>
      </c>
      <c r="AE249" s="80" t="str">
        <f t="shared" si="13"/>
        <v/>
      </c>
      <c r="AF249" s="81"/>
      <c r="AG249" s="77"/>
      <c r="AH249" s="81"/>
      <c r="AI249" s="77"/>
      <c r="AJ249" s="82" t="str">
        <f t="shared" si="14"/>
        <v/>
      </c>
      <c r="AK249" s="83" t="str">
        <f t="shared" si="15"/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 t="shared" si="12"/>
        <v/>
      </c>
      <c r="AE250" s="80" t="str">
        <f t="shared" si="13"/>
        <v/>
      </c>
      <c r="AF250" s="81"/>
      <c r="AG250" s="77"/>
      <c r="AH250" s="81"/>
      <c r="AI250" s="77"/>
      <c r="AJ250" s="82" t="str">
        <f t="shared" si="14"/>
        <v/>
      </c>
      <c r="AK250" s="83" t="str">
        <f t="shared" si="15"/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 t="shared" si="12"/>
        <v/>
      </c>
      <c r="AE251" s="80" t="str">
        <f t="shared" si="13"/>
        <v/>
      </c>
      <c r="AF251" s="81"/>
      <c r="AG251" s="77"/>
      <c r="AH251" s="81"/>
      <c r="AI251" s="77"/>
      <c r="AJ251" s="82" t="str">
        <f t="shared" si="14"/>
        <v/>
      </c>
      <c r="AK251" s="83" t="str">
        <f t="shared" si="15"/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 t="shared" si="12"/>
        <v/>
      </c>
      <c r="AE252" s="80" t="str">
        <f t="shared" si="13"/>
        <v/>
      </c>
      <c r="AF252" s="81"/>
      <c r="AG252" s="77"/>
      <c r="AH252" s="81"/>
      <c r="AI252" s="77"/>
      <c r="AJ252" s="82" t="str">
        <f t="shared" si="14"/>
        <v/>
      </c>
      <c r="AK252" s="83" t="str">
        <f t="shared" si="15"/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 t="shared" si="12"/>
        <v/>
      </c>
      <c r="AE253" s="80" t="str">
        <f t="shared" si="13"/>
        <v/>
      </c>
      <c r="AF253" s="81"/>
      <c r="AG253" s="77"/>
      <c r="AH253" s="81"/>
      <c r="AI253" s="77"/>
      <c r="AJ253" s="82" t="str">
        <f t="shared" si="14"/>
        <v/>
      </c>
      <c r="AK253" s="83" t="str">
        <f t="shared" si="15"/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 t="shared" si="12"/>
        <v/>
      </c>
      <c r="AE254" s="80" t="str">
        <f t="shared" si="13"/>
        <v/>
      </c>
      <c r="AF254" s="81"/>
      <c r="AG254" s="77"/>
      <c r="AH254" s="81"/>
      <c r="AI254" s="77"/>
      <c r="AJ254" s="82" t="str">
        <f t="shared" si="14"/>
        <v/>
      </c>
      <c r="AK254" s="83" t="str">
        <f t="shared" si="15"/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 t="shared" si="12"/>
        <v/>
      </c>
      <c r="AE255" s="80" t="str">
        <f t="shared" si="13"/>
        <v/>
      </c>
      <c r="AF255" s="81"/>
      <c r="AG255" s="77"/>
      <c r="AH255" s="81"/>
      <c r="AI255" s="77"/>
      <c r="AJ255" s="82" t="str">
        <f t="shared" si="14"/>
        <v/>
      </c>
      <c r="AK255" s="83" t="str">
        <f t="shared" si="15"/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 t="shared" si="12"/>
        <v/>
      </c>
      <c r="AE256" s="80" t="str">
        <f t="shared" si="13"/>
        <v/>
      </c>
      <c r="AF256" s="81"/>
      <c r="AG256" s="77"/>
      <c r="AH256" s="81"/>
      <c r="AI256" s="77"/>
      <c r="AJ256" s="82" t="str">
        <f t="shared" si="14"/>
        <v/>
      </c>
      <c r="AK256" s="83" t="str">
        <f t="shared" si="15"/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 t="shared" si="12"/>
        <v/>
      </c>
      <c r="AE257" s="80" t="str">
        <f t="shared" si="13"/>
        <v/>
      </c>
      <c r="AF257" s="81"/>
      <c r="AG257" s="77"/>
      <c r="AH257" s="81"/>
      <c r="AI257" s="77"/>
      <c r="AJ257" s="82" t="str">
        <f t="shared" si="14"/>
        <v/>
      </c>
      <c r="AK257" s="83" t="str">
        <f t="shared" si="15"/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 t="shared" si="12"/>
        <v/>
      </c>
      <c r="AE258" s="80" t="str">
        <f t="shared" si="13"/>
        <v/>
      </c>
      <c r="AF258" s="81"/>
      <c r="AG258" s="77"/>
      <c r="AH258" s="81"/>
      <c r="AI258" s="77"/>
      <c r="AJ258" s="82" t="str">
        <f t="shared" si="14"/>
        <v/>
      </c>
      <c r="AK258" s="83" t="str">
        <f t="shared" si="15"/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 t="shared" si="12"/>
        <v/>
      </c>
      <c r="AE259" s="80" t="str">
        <f t="shared" si="13"/>
        <v/>
      </c>
      <c r="AF259" s="81"/>
      <c r="AG259" s="77"/>
      <c r="AH259" s="81"/>
      <c r="AI259" s="77"/>
      <c r="AJ259" s="82" t="str">
        <f t="shared" si="14"/>
        <v/>
      </c>
      <c r="AK259" s="83" t="str">
        <f t="shared" si="15"/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 t="shared" ref="AD260:AD323" si="16">IF(MIN(F260,J260,N260,R260,V260,Z260)&lt;&gt;0,MIN(F260,J260,N260,R260,V260,Z260),"")</f>
        <v/>
      </c>
      <c r="AE260" s="80" t="str">
        <f t="shared" ref="AE260:AE323" si="17">IF(MIN(H260,L260,P260,T260,X260,AB260)&lt;&gt;0,MIN(H260,L260,P260,T260,X260,AB260),"")</f>
        <v/>
      </c>
      <c r="AF260" s="81"/>
      <c r="AG260" s="77"/>
      <c r="AH260" s="81"/>
      <c r="AI260" s="77"/>
      <c r="AJ260" s="82" t="str">
        <f t="shared" ref="AJ260:AJ323" si="18">IF(AD260="","",IF(ISBLANK(AF260),"En cours",AD260+AF260))</f>
        <v/>
      </c>
      <c r="AK260" s="83" t="str">
        <f t="shared" ref="AK260:AK323" si="19"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 t="shared" si="16"/>
        <v/>
      </c>
      <c r="AE261" s="80" t="str">
        <f t="shared" si="17"/>
        <v/>
      </c>
      <c r="AF261" s="81"/>
      <c r="AG261" s="77"/>
      <c r="AH261" s="81"/>
      <c r="AI261" s="77"/>
      <c r="AJ261" s="82" t="str">
        <f t="shared" si="18"/>
        <v/>
      </c>
      <c r="AK261" s="83" t="str">
        <f t="shared" si="19"/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 t="shared" si="16"/>
        <v/>
      </c>
      <c r="AE262" s="80" t="str">
        <f t="shared" si="17"/>
        <v/>
      </c>
      <c r="AF262" s="81"/>
      <c r="AG262" s="77"/>
      <c r="AH262" s="81"/>
      <c r="AI262" s="77"/>
      <c r="AJ262" s="82" t="str">
        <f t="shared" si="18"/>
        <v/>
      </c>
      <c r="AK262" s="83" t="str">
        <f t="shared" si="19"/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 t="shared" si="16"/>
        <v/>
      </c>
      <c r="AE263" s="80" t="str">
        <f t="shared" si="17"/>
        <v/>
      </c>
      <c r="AF263" s="81"/>
      <c r="AG263" s="77"/>
      <c r="AH263" s="81"/>
      <c r="AI263" s="77"/>
      <c r="AJ263" s="82" t="str">
        <f t="shared" si="18"/>
        <v/>
      </c>
      <c r="AK263" s="83" t="str">
        <f t="shared" si="19"/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 t="shared" si="16"/>
        <v/>
      </c>
      <c r="AE264" s="80" t="str">
        <f t="shared" si="17"/>
        <v/>
      </c>
      <c r="AF264" s="81"/>
      <c r="AG264" s="77"/>
      <c r="AH264" s="81"/>
      <c r="AI264" s="77"/>
      <c r="AJ264" s="82" t="str">
        <f t="shared" si="18"/>
        <v/>
      </c>
      <c r="AK264" s="83" t="str">
        <f t="shared" si="19"/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 t="shared" si="16"/>
        <v/>
      </c>
      <c r="AE265" s="80" t="str">
        <f t="shared" si="17"/>
        <v/>
      </c>
      <c r="AF265" s="81"/>
      <c r="AG265" s="77"/>
      <c r="AH265" s="81"/>
      <c r="AI265" s="77"/>
      <c r="AJ265" s="82" t="str">
        <f t="shared" si="18"/>
        <v/>
      </c>
      <c r="AK265" s="83" t="str">
        <f t="shared" si="19"/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 t="shared" si="16"/>
        <v/>
      </c>
      <c r="AE266" s="80" t="str">
        <f t="shared" si="17"/>
        <v/>
      </c>
      <c r="AF266" s="81"/>
      <c r="AG266" s="77"/>
      <c r="AH266" s="81"/>
      <c r="AI266" s="77"/>
      <c r="AJ266" s="82" t="str">
        <f t="shared" si="18"/>
        <v/>
      </c>
      <c r="AK266" s="83" t="str">
        <f t="shared" si="19"/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 t="shared" si="16"/>
        <v/>
      </c>
      <c r="AE267" s="80" t="str">
        <f t="shared" si="17"/>
        <v/>
      </c>
      <c r="AF267" s="81"/>
      <c r="AG267" s="77"/>
      <c r="AH267" s="81"/>
      <c r="AI267" s="77"/>
      <c r="AJ267" s="82" t="str">
        <f t="shared" si="18"/>
        <v/>
      </c>
      <c r="AK267" s="83" t="str">
        <f t="shared" si="19"/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 t="shared" si="16"/>
        <v/>
      </c>
      <c r="AE268" s="80" t="str">
        <f t="shared" si="17"/>
        <v/>
      </c>
      <c r="AF268" s="81"/>
      <c r="AG268" s="77"/>
      <c r="AH268" s="81"/>
      <c r="AI268" s="77"/>
      <c r="AJ268" s="82" t="str">
        <f t="shared" si="18"/>
        <v/>
      </c>
      <c r="AK268" s="83" t="str">
        <f t="shared" si="19"/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 t="shared" si="16"/>
        <v/>
      </c>
      <c r="AE269" s="80" t="str">
        <f t="shared" si="17"/>
        <v/>
      </c>
      <c r="AF269" s="81"/>
      <c r="AG269" s="77"/>
      <c r="AH269" s="81"/>
      <c r="AI269" s="77"/>
      <c r="AJ269" s="82" t="str">
        <f t="shared" si="18"/>
        <v/>
      </c>
      <c r="AK269" s="83" t="str">
        <f t="shared" si="19"/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 t="shared" si="16"/>
        <v/>
      </c>
      <c r="AE270" s="80" t="str">
        <f t="shared" si="17"/>
        <v/>
      </c>
      <c r="AF270" s="81"/>
      <c r="AG270" s="77"/>
      <c r="AH270" s="81"/>
      <c r="AI270" s="77"/>
      <c r="AJ270" s="82" t="str">
        <f t="shared" si="18"/>
        <v/>
      </c>
      <c r="AK270" s="83" t="str">
        <f t="shared" si="19"/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 t="shared" si="16"/>
        <v/>
      </c>
      <c r="AE271" s="80" t="str">
        <f t="shared" si="17"/>
        <v/>
      </c>
      <c r="AF271" s="81"/>
      <c r="AG271" s="77"/>
      <c r="AH271" s="81"/>
      <c r="AI271" s="77"/>
      <c r="AJ271" s="82" t="str">
        <f t="shared" si="18"/>
        <v/>
      </c>
      <c r="AK271" s="83" t="str">
        <f t="shared" si="19"/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 t="shared" si="16"/>
        <v/>
      </c>
      <c r="AE272" s="80" t="str">
        <f t="shared" si="17"/>
        <v/>
      </c>
      <c r="AF272" s="81"/>
      <c r="AG272" s="77"/>
      <c r="AH272" s="81"/>
      <c r="AI272" s="77"/>
      <c r="AJ272" s="82" t="str">
        <f t="shared" si="18"/>
        <v/>
      </c>
      <c r="AK272" s="83" t="str">
        <f t="shared" si="19"/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 t="shared" si="16"/>
        <v/>
      </c>
      <c r="AE273" s="80" t="str">
        <f t="shared" si="17"/>
        <v/>
      </c>
      <c r="AF273" s="81"/>
      <c r="AG273" s="77"/>
      <c r="AH273" s="81"/>
      <c r="AI273" s="77"/>
      <c r="AJ273" s="82" t="str">
        <f t="shared" si="18"/>
        <v/>
      </c>
      <c r="AK273" s="83" t="str">
        <f t="shared" si="19"/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 t="shared" si="16"/>
        <v/>
      </c>
      <c r="AE274" s="80" t="str">
        <f t="shared" si="17"/>
        <v/>
      </c>
      <c r="AF274" s="81"/>
      <c r="AG274" s="77"/>
      <c r="AH274" s="81"/>
      <c r="AI274" s="77"/>
      <c r="AJ274" s="82" t="str">
        <f t="shared" si="18"/>
        <v/>
      </c>
      <c r="AK274" s="83" t="str">
        <f t="shared" si="19"/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 t="shared" si="16"/>
        <v/>
      </c>
      <c r="AE275" s="80" t="str">
        <f t="shared" si="17"/>
        <v/>
      </c>
      <c r="AF275" s="81"/>
      <c r="AG275" s="77"/>
      <c r="AH275" s="81"/>
      <c r="AI275" s="77"/>
      <c r="AJ275" s="82" t="str">
        <f t="shared" si="18"/>
        <v/>
      </c>
      <c r="AK275" s="83" t="str">
        <f t="shared" si="19"/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 t="shared" si="16"/>
        <v/>
      </c>
      <c r="AE276" s="80" t="str">
        <f t="shared" si="17"/>
        <v/>
      </c>
      <c r="AF276" s="81"/>
      <c r="AG276" s="77"/>
      <c r="AH276" s="81"/>
      <c r="AI276" s="77"/>
      <c r="AJ276" s="82" t="str">
        <f t="shared" si="18"/>
        <v/>
      </c>
      <c r="AK276" s="83" t="str">
        <f t="shared" si="19"/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 t="shared" si="16"/>
        <v/>
      </c>
      <c r="AE277" s="80" t="str">
        <f t="shared" si="17"/>
        <v/>
      </c>
      <c r="AF277" s="81"/>
      <c r="AG277" s="77"/>
      <c r="AH277" s="81"/>
      <c r="AI277" s="77"/>
      <c r="AJ277" s="82" t="str">
        <f t="shared" si="18"/>
        <v/>
      </c>
      <c r="AK277" s="83" t="str">
        <f t="shared" si="19"/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 t="shared" si="16"/>
        <v/>
      </c>
      <c r="AE278" s="80" t="str">
        <f t="shared" si="17"/>
        <v/>
      </c>
      <c r="AF278" s="81"/>
      <c r="AG278" s="77"/>
      <c r="AH278" s="81"/>
      <c r="AI278" s="77"/>
      <c r="AJ278" s="82" t="str">
        <f t="shared" si="18"/>
        <v/>
      </c>
      <c r="AK278" s="83" t="str">
        <f t="shared" si="19"/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 t="shared" si="16"/>
        <v/>
      </c>
      <c r="AE279" s="80" t="str">
        <f t="shared" si="17"/>
        <v/>
      </c>
      <c r="AF279" s="81"/>
      <c r="AG279" s="77"/>
      <c r="AH279" s="81"/>
      <c r="AI279" s="77"/>
      <c r="AJ279" s="82" t="str">
        <f t="shared" si="18"/>
        <v/>
      </c>
      <c r="AK279" s="83" t="str">
        <f t="shared" si="19"/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 t="shared" si="16"/>
        <v/>
      </c>
      <c r="AE280" s="80" t="str">
        <f t="shared" si="17"/>
        <v/>
      </c>
      <c r="AF280" s="81"/>
      <c r="AG280" s="77"/>
      <c r="AH280" s="81"/>
      <c r="AI280" s="77"/>
      <c r="AJ280" s="82" t="str">
        <f t="shared" si="18"/>
        <v/>
      </c>
      <c r="AK280" s="83" t="str">
        <f t="shared" si="19"/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 t="shared" si="16"/>
        <v/>
      </c>
      <c r="AE281" s="80" t="str">
        <f t="shared" si="17"/>
        <v/>
      </c>
      <c r="AF281" s="81"/>
      <c r="AG281" s="77"/>
      <c r="AH281" s="81"/>
      <c r="AI281" s="77"/>
      <c r="AJ281" s="82" t="str">
        <f t="shared" si="18"/>
        <v/>
      </c>
      <c r="AK281" s="83" t="str">
        <f t="shared" si="19"/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 t="shared" si="16"/>
        <v/>
      </c>
      <c r="AE282" s="80" t="str">
        <f t="shared" si="17"/>
        <v/>
      </c>
      <c r="AF282" s="81"/>
      <c r="AG282" s="77"/>
      <c r="AH282" s="81"/>
      <c r="AI282" s="77"/>
      <c r="AJ282" s="82" t="str">
        <f t="shared" si="18"/>
        <v/>
      </c>
      <c r="AK282" s="83" t="str">
        <f t="shared" si="19"/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 t="shared" si="16"/>
        <v/>
      </c>
      <c r="AE283" s="80" t="str">
        <f t="shared" si="17"/>
        <v/>
      </c>
      <c r="AF283" s="81"/>
      <c r="AG283" s="77"/>
      <c r="AH283" s="81"/>
      <c r="AI283" s="77"/>
      <c r="AJ283" s="82" t="str">
        <f t="shared" si="18"/>
        <v/>
      </c>
      <c r="AK283" s="83" t="str">
        <f t="shared" si="19"/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 t="shared" si="16"/>
        <v/>
      </c>
      <c r="AE284" s="80" t="str">
        <f t="shared" si="17"/>
        <v/>
      </c>
      <c r="AF284" s="81"/>
      <c r="AG284" s="77"/>
      <c r="AH284" s="81"/>
      <c r="AI284" s="77"/>
      <c r="AJ284" s="82" t="str">
        <f t="shared" si="18"/>
        <v/>
      </c>
      <c r="AK284" s="83" t="str">
        <f t="shared" si="19"/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 t="shared" si="16"/>
        <v/>
      </c>
      <c r="AE285" s="80" t="str">
        <f t="shared" si="17"/>
        <v/>
      </c>
      <c r="AF285" s="81"/>
      <c r="AG285" s="77"/>
      <c r="AH285" s="81"/>
      <c r="AI285" s="77"/>
      <c r="AJ285" s="82" t="str">
        <f t="shared" si="18"/>
        <v/>
      </c>
      <c r="AK285" s="83" t="str">
        <f t="shared" si="19"/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 t="shared" si="16"/>
        <v/>
      </c>
      <c r="AE286" s="80" t="str">
        <f t="shared" si="17"/>
        <v/>
      </c>
      <c r="AF286" s="81"/>
      <c r="AG286" s="77"/>
      <c r="AH286" s="81"/>
      <c r="AI286" s="77"/>
      <c r="AJ286" s="82" t="str">
        <f t="shared" si="18"/>
        <v/>
      </c>
      <c r="AK286" s="83" t="str">
        <f t="shared" si="19"/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 t="shared" si="16"/>
        <v/>
      </c>
      <c r="AE287" s="80" t="str">
        <f t="shared" si="17"/>
        <v/>
      </c>
      <c r="AF287" s="81"/>
      <c r="AG287" s="77"/>
      <c r="AH287" s="81"/>
      <c r="AI287" s="77"/>
      <c r="AJ287" s="82" t="str">
        <f t="shared" si="18"/>
        <v/>
      </c>
      <c r="AK287" s="83" t="str">
        <f t="shared" si="19"/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 t="shared" si="16"/>
        <v/>
      </c>
      <c r="AE288" s="80" t="str">
        <f t="shared" si="17"/>
        <v/>
      </c>
      <c r="AF288" s="81"/>
      <c r="AG288" s="77"/>
      <c r="AH288" s="81"/>
      <c r="AI288" s="77"/>
      <c r="AJ288" s="82" t="str">
        <f t="shared" si="18"/>
        <v/>
      </c>
      <c r="AK288" s="83" t="str">
        <f t="shared" si="19"/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 t="shared" si="16"/>
        <v/>
      </c>
      <c r="AE289" s="80" t="str">
        <f t="shared" si="17"/>
        <v/>
      </c>
      <c r="AF289" s="81"/>
      <c r="AG289" s="77"/>
      <c r="AH289" s="81"/>
      <c r="AI289" s="77"/>
      <c r="AJ289" s="82" t="str">
        <f t="shared" si="18"/>
        <v/>
      </c>
      <c r="AK289" s="83" t="str">
        <f t="shared" si="19"/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 t="shared" si="16"/>
        <v/>
      </c>
      <c r="AE290" s="80" t="str">
        <f t="shared" si="17"/>
        <v/>
      </c>
      <c r="AF290" s="81"/>
      <c r="AG290" s="77"/>
      <c r="AH290" s="81"/>
      <c r="AI290" s="77"/>
      <c r="AJ290" s="82" t="str">
        <f t="shared" si="18"/>
        <v/>
      </c>
      <c r="AK290" s="83" t="str">
        <f t="shared" si="19"/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 t="shared" si="16"/>
        <v/>
      </c>
      <c r="AE291" s="80" t="str">
        <f t="shared" si="17"/>
        <v/>
      </c>
      <c r="AF291" s="81"/>
      <c r="AG291" s="77"/>
      <c r="AH291" s="81"/>
      <c r="AI291" s="77"/>
      <c r="AJ291" s="82" t="str">
        <f t="shared" si="18"/>
        <v/>
      </c>
      <c r="AK291" s="83" t="str">
        <f t="shared" si="19"/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 t="shared" si="16"/>
        <v/>
      </c>
      <c r="AE292" s="80" t="str">
        <f t="shared" si="17"/>
        <v/>
      </c>
      <c r="AF292" s="81"/>
      <c r="AG292" s="77"/>
      <c r="AH292" s="81"/>
      <c r="AI292" s="77"/>
      <c r="AJ292" s="82" t="str">
        <f t="shared" si="18"/>
        <v/>
      </c>
      <c r="AK292" s="83" t="str">
        <f t="shared" si="19"/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 t="shared" si="16"/>
        <v/>
      </c>
      <c r="AE293" s="80" t="str">
        <f t="shared" si="17"/>
        <v/>
      </c>
      <c r="AF293" s="81"/>
      <c r="AG293" s="77"/>
      <c r="AH293" s="81"/>
      <c r="AI293" s="77"/>
      <c r="AJ293" s="82" t="str">
        <f t="shared" si="18"/>
        <v/>
      </c>
      <c r="AK293" s="83" t="str">
        <f t="shared" si="19"/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 t="shared" si="16"/>
        <v/>
      </c>
      <c r="AE294" s="80" t="str">
        <f t="shared" si="17"/>
        <v/>
      </c>
      <c r="AF294" s="81"/>
      <c r="AG294" s="77"/>
      <c r="AH294" s="81"/>
      <c r="AI294" s="77"/>
      <c r="AJ294" s="82" t="str">
        <f t="shared" si="18"/>
        <v/>
      </c>
      <c r="AK294" s="83" t="str">
        <f t="shared" si="19"/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 t="shared" si="16"/>
        <v/>
      </c>
      <c r="AE295" s="80" t="str">
        <f t="shared" si="17"/>
        <v/>
      </c>
      <c r="AF295" s="81"/>
      <c r="AG295" s="77"/>
      <c r="AH295" s="81"/>
      <c r="AI295" s="77"/>
      <c r="AJ295" s="82" t="str">
        <f t="shared" si="18"/>
        <v/>
      </c>
      <c r="AK295" s="83" t="str">
        <f t="shared" si="19"/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 t="shared" si="16"/>
        <v/>
      </c>
      <c r="AE296" s="80" t="str">
        <f t="shared" si="17"/>
        <v/>
      </c>
      <c r="AF296" s="81"/>
      <c r="AG296" s="77"/>
      <c r="AH296" s="81"/>
      <c r="AI296" s="77"/>
      <c r="AJ296" s="82" t="str">
        <f t="shared" si="18"/>
        <v/>
      </c>
      <c r="AK296" s="83" t="str">
        <f t="shared" si="19"/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 t="shared" si="16"/>
        <v/>
      </c>
      <c r="AE297" s="80" t="str">
        <f t="shared" si="17"/>
        <v/>
      </c>
      <c r="AF297" s="81"/>
      <c r="AG297" s="77"/>
      <c r="AH297" s="81"/>
      <c r="AI297" s="77"/>
      <c r="AJ297" s="82" t="str">
        <f t="shared" si="18"/>
        <v/>
      </c>
      <c r="AK297" s="83" t="str">
        <f t="shared" si="19"/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 t="shared" si="16"/>
        <v/>
      </c>
      <c r="AE298" s="80" t="str">
        <f t="shared" si="17"/>
        <v/>
      </c>
      <c r="AF298" s="81"/>
      <c r="AG298" s="77"/>
      <c r="AH298" s="81"/>
      <c r="AI298" s="77"/>
      <c r="AJ298" s="82" t="str">
        <f t="shared" si="18"/>
        <v/>
      </c>
      <c r="AK298" s="83" t="str">
        <f t="shared" si="19"/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 t="shared" si="16"/>
        <v/>
      </c>
      <c r="AE299" s="80" t="str">
        <f t="shared" si="17"/>
        <v/>
      </c>
      <c r="AF299" s="81"/>
      <c r="AG299" s="77"/>
      <c r="AH299" s="81"/>
      <c r="AI299" s="77"/>
      <c r="AJ299" s="82" t="str">
        <f t="shared" si="18"/>
        <v/>
      </c>
      <c r="AK299" s="83" t="str">
        <f t="shared" si="19"/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 t="shared" si="16"/>
        <v/>
      </c>
      <c r="AE300" s="80" t="str">
        <f t="shared" si="17"/>
        <v/>
      </c>
      <c r="AF300" s="81"/>
      <c r="AG300" s="77"/>
      <c r="AH300" s="81"/>
      <c r="AI300" s="77"/>
      <c r="AJ300" s="82" t="str">
        <f t="shared" si="18"/>
        <v/>
      </c>
      <c r="AK300" s="83" t="str">
        <f t="shared" si="19"/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 t="shared" si="16"/>
        <v/>
      </c>
      <c r="AE301" s="80" t="str">
        <f t="shared" si="17"/>
        <v/>
      </c>
      <c r="AF301" s="81"/>
      <c r="AG301" s="77"/>
      <c r="AH301" s="81"/>
      <c r="AI301" s="77"/>
      <c r="AJ301" s="82" t="str">
        <f t="shared" si="18"/>
        <v/>
      </c>
      <c r="AK301" s="83" t="str">
        <f t="shared" si="19"/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 t="shared" si="16"/>
        <v/>
      </c>
      <c r="AE302" s="80" t="str">
        <f t="shared" si="17"/>
        <v/>
      </c>
      <c r="AF302" s="81"/>
      <c r="AG302" s="77"/>
      <c r="AH302" s="81"/>
      <c r="AI302" s="77"/>
      <c r="AJ302" s="82" t="str">
        <f t="shared" si="18"/>
        <v/>
      </c>
      <c r="AK302" s="83" t="str">
        <f t="shared" si="19"/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 t="shared" si="16"/>
        <v/>
      </c>
      <c r="AE303" s="80" t="str">
        <f t="shared" si="17"/>
        <v/>
      </c>
      <c r="AF303" s="81"/>
      <c r="AG303" s="77"/>
      <c r="AH303" s="81"/>
      <c r="AI303" s="77"/>
      <c r="AJ303" s="82" t="str">
        <f t="shared" si="18"/>
        <v/>
      </c>
      <c r="AK303" s="83" t="str">
        <f t="shared" si="19"/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 t="shared" si="16"/>
        <v/>
      </c>
      <c r="AE304" s="80" t="str">
        <f t="shared" si="17"/>
        <v/>
      </c>
      <c r="AF304" s="81"/>
      <c r="AG304" s="77"/>
      <c r="AH304" s="81"/>
      <c r="AI304" s="77"/>
      <c r="AJ304" s="82" t="str">
        <f t="shared" si="18"/>
        <v/>
      </c>
      <c r="AK304" s="83" t="str">
        <f t="shared" si="19"/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 t="shared" si="16"/>
        <v/>
      </c>
      <c r="AE305" s="80" t="str">
        <f t="shared" si="17"/>
        <v/>
      </c>
      <c r="AF305" s="81"/>
      <c r="AG305" s="77"/>
      <c r="AH305" s="81"/>
      <c r="AI305" s="77"/>
      <c r="AJ305" s="82" t="str">
        <f t="shared" si="18"/>
        <v/>
      </c>
      <c r="AK305" s="83" t="str">
        <f t="shared" si="19"/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 t="shared" si="16"/>
        <v/>
      </c>
      <c r="AE306" s="80" t="str">
        <f t="shared" si="17"/>
        <v/>
      </c>
      <c r="AF306" s="81"/>
      <c r="AG306" s="77"/>
      <c r="AH306" s="81"/>
      <c r="AI306" s="77"/>
      <c r="AJ306" s="82" t="str">
        <f t="shared" si="18"/>
        <v/>
      </c>
      <c r="AK306" s="83" t="str">
        <f t="shared" si="19"/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 t="shared" si="16"/>
        <v/>
      </c>
      <c r="AE307" s="80" t="str">
        <f t="shared" si="17"/>
        <v/>
      </c>
      <c r="AF307" s="81"/>
      <c r="AG307" s="77"/>
      <c r="AH307" s="81"/>
      <c r="AI307" s="77"/>
      <c r="AJ307" s="82" t="str">
        <f t="shared" si="18"/>
        <v/>
      </c>
      <c r="AK307" s="83" t="str">
        <f t="shared" si="19"/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 t="shared" si="16"/>
        <v/>
      </c>
      <c r="AE308" s="80" t="str">
        <f t="shared" si="17"/>
        <v/>
      </c>
      <c r="AF308" s="81"/>
      <c r="AG308" s="77"/>
      <c r="AH308" s="81"/>
      <c r="AI308" s="77"/>
      <c r="AJ308" s="82" t="str">
        <f t="shared" si="18"/>
        <v/>
      </c>
      <c r="AK308" s="83" t="str">
        <f t="shared" si="19"/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 t="shared" si="16"/>
        <v/>
      </c>
      <c r="AE309" s="80" t="str">
        <f t="shared" si="17"/>
        <v/>
      </c>
      <c r="AF309" s="81"/>
      <c r="AG309" s="77"/>
      <c r="AH309" s="81"/>
      <c r="AI309" s="77"/>
      <c r="AJ309" s="82" t="str">
        <f t="shared" si="18"/>
        <v/>
      </c>
      <c r="AK309" s="83" t="str">
        <f t="shared" si="19"/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 t="shared" si="16"/>
        <v/>
      </c>
      <c r="AE310" s="80" t="str">
        <f t="shared" si="17"/>
        <v/>
      </c>
      <c r="AF310" s="81"/>
      <c r="AG310" s="77"/>
      <c r="AH310" s="81"/>
      <c r="AI310" s="77"/>
      <c r="AJ310" s="82" t="str">
        <f t="shared" si="18"/>
        <v/>
      </c>
      <c r="AK310" s="83" t="str">
        <f t="shared" si="19"/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 t="shared" si="16"/>
        <v/>
      </c>
      <c r="AE311" s="80" t="str">
        <f t="shared" si="17"/>
        <v/>
      </c>
      <c r="AF311" s="81"/>
      <c r="AG311" s="77"/>
      <c r="AH311" s="81"/>
      <c r="AI311" s="77"/>
      <c r="AJ311" s="82" t="str">
        <f t="shared" si="18"/>
        <v/>
      </c>
      <c r="AK311" s="83" t="str">
        <f t="shared" si="19"/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 t="shared" si="16"/>
        <v/>
      </c>
      <c r="AE312" s="80" t="str">
        <f t="shared" si="17"/>
        <v/>
      </c>
      <c r="AF312" s="81"/>
      <c r="AG312" s="77"/>
      <c r="AH312" s="81"/>
      <c r="AI312" s="77"/>
      <c r="AJ312" s="82" t="str">
        <f t="shared" si="18"/>
        <v/>
      </c>
      <c r="AK312" s="83" t="str">
        <f t="shared" si="19"/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 t="shared" si="16"/>
        <v/>
      </c>
      <c r="AE313" s="80" t="str">
        <f t="shared" si="17"/>
        <v/>
      </c>
      <c r="AF313" s="81"/>
      <c r="AG313" s="77"/>
      <c r="AH313" s="81"/>
      <c r="AI313" s="77"/>
      <c r="AJ313" s="82" t="str">
        <f t="shared" si="18"/>
        <v/>
      </c>
      <c r="AK313" s="83" t="str">
        <f t="shared" si="19"/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 t="shared" si="16"/>
        <v/>
      </c>
      <c r="AE314" s="80" t="str">
        <f t="shared" si="17"/>
        <v/>
      </c>
      <c r="AF314" s="81"/>
      <c r="AG314" s="77"/>
      <c r="AH314" s="81"/>
      <c r="AI314" s="77"/>
      <c r="AJ314" s="82" t="str">
        <f t="shared" si="18"/>
        <v/>
      </c>
      <c r="AK314" s="83" t="str">
        <f t="shared" si="19"/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 t="shared" si="16"/>
        <v/>
      </c>
      <c r="AE315" s="80" t="str">
        <f t="shared" si="17"/>
        <v/>
      </c>
      <c r="AF315" s="81"/>
      <c r="AG315" s="77"/>
      <c r="AH315" s="81"/>
      <c r="AI315" s="77"/>
      <c r="AJ315" s="82" t="str">
        <f t="shared" si="18"/>
        <v/>
      </c>
      <c r="AK315" s="83" t="str">
        <f t="shared" si="19"/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 t="shared" si="16"/>
        <v/>
      </c>
      <c r="AE316" s="80" t="str">
        <f t="shared" si="17"/>
        <v/>
      </c>
      <c r="AF316" s="81"/>
      <c r="AG316" s="77"/>
      <c r="AH316" s="81"/>
      <c r="AI316" s="77"/>
      <c r="AJ316" s="82" t="str">
        <f t="shared" si="18"/>
        <v/>
      </c>
      <c r="AK316" s="83" t="str">
        <f t="shared" si="19"/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 t="shared" si="16"/>
        <v/>
      </c>
      <c r="AE317" s="80" t="str">
        <f t="shared" si="17"/>
        <v/>
      </c>
      <c r="AF317" s="81"/>
      <c r="AG317" s="77"/>
      <c r="AH317" s="81"/>
      <c r="AI317" s="77"/>
      <c r="AJ317" s="82" t="str">
        <f t="shared" si="18"/>
        <v/>
      </c>
      <c r="AK317" s="83" t="str">
        <f t="shared" si="19"/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 t="shared" si="16"/>
        <v/>
      </c>
      <c r="AE318" s="80" t="str">
        <f t="shared" si="17"/>
        <v/>
      </c>
      <c r="AF318" s="81"/>
      <c r="AG318" s="77"/>
      <c r="AH318" s="81"/>
      <c r="AI318" s="77"/>
      <c r="AJ318" s="82" t="str">
        <f t="shared" si="18"/>
        <v/>
      </c>
      <c r="AK318" s="83" t="str">
        <f t="shared" si="19"/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 t="shared" si="16"/>
        <v/>
      </c>
      <c r="AE319" s="80" t="str">
        <f t="shared" si="17"/>
        <v/>
      </c>
      <c r="AF319" s="81"/>
      <c r="AG319" s="77"/>
      <c r="AH319" s="81"/>
      <c r="AI319" s="77"/>
      <c r="AJ319" s="82" t="str">
        <f t="shared" si="18"/>
        <v/>
      </c>
      <c r="AK319" s="83" t="str">
        <f t="shared" si="19"/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 t="shared" si="16"/>
        <v/>
      </c>
      <c r="AE320" s="80" t="str">
        <f t="shared" si="17"/>
        <v/>
      </c>
      <c r="AF320" s="81"/>
      <c r="AG320" s="77"/>
      <c r="AH320" s="81"/>
      <c r="AI320" s="77"/>
      <c r="AJ320" s="82" t="str">
        <f t="shared" si="18"/>
        <v/>
      </c>
      <c r="AK320" s="83" t="str">
        <f t="shared" si="19"/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 t="shared" si="16"/>
        <v/>
      </c>
      <c r="AE321" s="80" t="str">
        <f t="shared" si="17"/>
        <v/>
      </c>
      <c r="AF321" s="81"/>
      <c r="AG321" s="77"/>
      <c r="AH321" s="81"/>
      <c r="AI321" s="77"/>
      <c r="AJ321" s="82" t="str">
        <f t="shared" si="18"/>
        <v/>
      </c>
      <c r="AK321" s="83" t="str">
        <f t="shared" si="19"/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 t="shared" si="16"/>
        <v/>
      </c>
      <c r="AE322" s="80" t="str">
        <f t="shared" si="17"/>
        <v/>
      </c>
      <c r="AF322" s="81"/>
      <c r="AG322" s="77"/>
      <c r="AH322" s="81"/>
      <c r="AI322" s="77"/>
      <c r="AJ322" s="82" t="str">
        <f t="shared" si="18"/>
        <v/>
      </c>
      <c r="AK322" s="83" t="str">
        <f t="shared" si="19"/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 t="shared" si="16"/>
        <v/>
      </c>
      <c r="AE323" s="80" t="str">
        <f t="shared" si="17"/>
        <v/>
      </c>
      <c r="AF323" s="81"/>
      <c r="AG323" s="77"/>
      <c r="AH323" s="81"/>
      <c r="AI323" s="77"/>
      <c r="AJ323" s="82" t="str">
        <f t="shared" si="18"/>
        <v/>
      </c>
      <c r="AK323" s="83" t="str">
        <f t="shared" si="19"/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 t="shared" ref="AD324:AD350" si="20">IF(MIN(F324,J324,N324,R324,V324,Z324)&lt;&gt;0,MIN(F324,J324,N324,R324,V324,Z324),"")</f>
        <v/>
      </c>
      <c r="AE324" s="80" t="str">
        <f t="shared" ref="AE324:AE350" si="21">IF(MIN(H324,L324,P324,T324,X324,AB324)&lt;&gt;0,MIN(H324,L324,P324,T324,X324,AB324),"")</f>
        <v/>
      </c>
      <c r="AF324" s="81"/>
      <c r="AG324" s="77"/>
      <c r="AH324" s="81"/>
      <c r="AI324" s="77"/>
      <c r="AJ324" s="82" t="str">
        <f t="shared" ref="AJ324:AJ350" si="22">IF(AD324="","",IF(ISBLANK(AF324),"En cours",AD324+AF324))</f>
        <v/>
      </c>
      <c r="AK324" s="83" t="str">
        <f t="shared" ref="AK324:AK350" si="23"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 t="shared" si="20"/>
        <v/>
      </c>
      <c r="AE325" s="80" t="str">
        <f t="shared" si="21"/>
        <v/>
      </c>
      <c r="AF325" s="81"/>
      <c r="AG325" s="77"/>
      <c r="AH325" s="81"/>
      <c r="AI325" s="77"/>
      <c r="AJ325" s="82" t="str">
        <f t="shared" si="22"/>
        <v/>
      </c>
      <c r="AK325" s="83" t="str">
        <f t="shared" si="23"/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 t="shared" si="20"/>
        <v/>
      </c>
      <c r="AE326" s="80" t="str">
        <f t="shared" si="21"/>
        <v/>
      </c>
      <c r="AF326" s="81"/>
      <c r="AG326" s="77"/>
      <c r="AH326" s="81"/>
      <c r="AI326" s="77"/>
      <c r="AJ326" s="82" t="str">
        <f t="shared" si="22"/>
        <v/>
      </c>
      <c r="AK326" s="83" t="str">
        <f t="shared" si="23"/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 t="shared" si="20"/>
        <v/>
      </c>
      <c r="AE327" s="80" t="str">
        <f t="shared" si="21"/>
        <v/>
      </c>
      <c r="AF327" s="81"/>
      <c r="AG327" s="77"/>
      <c r="AH327" s="81"/>
      <c r="AI327" s="77"/>
      <c r="AJ327" s="82" t="str">
        <f t="shared" si="22"/>
        <v/>
      </c>
      <c r="AK327" s="83" t="str">
        <f t="shared" si="23"/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 t="shared" si="20"/>
        <v/>
      </c>
      <c r="AE328" s="80" t="str">
        <f t="shared" si="21"/>
        <v/>
      </c>
      <c r="AF328" s="81"/>
      <c r="AG328" s="77"/>
      <c r="AH328" s="81"/>
      <c r="AI328" s="77"/>
      <c r="AJ328" s="82" t="str">
        <f t="shared" si="22"/>
        <v/>
      </c>
      <c r="AK328" s="83" t="str">
        <f t="shared" si="23"/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 t="shared" si="20"/>
        <v/>
      </c>
      <c r="AE329" s="80" t="str">
        <f t="shared" si="21"/>
        <v/>
      </c>
      <c r="AF329" s="81"/>
      <c r="AG329" s="77"/>
      <c r="AH329" s="81"/>
      <c r="AI329" s="77"/>
      <c r="AJ329" s="82" t="str">
        <f t="shared" si="22"/>
        <v/>
      </c>
      <c r="AK329" s="83" t="str">
        <f t="shared" si="23"/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 t="shared" si="20"/>
        <v/>
      </c>
      <c r="AE330" s="80" t="str">
        <f t="shared" si="21"/>
        <v/>
      </c>
      <c r="AF330" s="81"/>
      <c r="AG330" s="77"/>
      <c r="AH330" s="81"/>
      <c r="AI330" s="77"/>
      <c r="AJ330" s="82" t="str">
        <f t="shared" si="22"/>
        <v/>
      </c>
      <c r="AK330" s="83" t="str">
        <f t="shared" si="23"/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 t="shared" si="20"/>
        <v/>
      </c>
      <c r="AE331" s="80" t="str">
        <f t="shared" si="21"/>
        <v/>
      </c>
      <c r="AF331" s="81"/>
      <c r="AG331" s="77"/>
      <c r="AH331" s="81"/>
      <c r="AI331" s="77"/>
      <c r="AJ331" s="82" t="str">
        <f t="shared" si="22"/>
        <v/>
      </c>
      <c r="AK331" s="83" t="str">
        <f t="shared" si="23"/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 t="shared" si="20"/>
        <v/>
      </c>
      <c r="AE332" s="80" t="str">
        <f t="shared" si="21"/>
        <v/>
      </c>
      <c r="AF332" s="81"/>
      <c r="AG332" s="77"/>
      <c r="AH332" s="81"/>
      <c r="AI332" s="77"/>
      <c r="AJ332" s="82" t="str">
        <f t="shared" si="22"/>
        <v/>
      </c>
      <c r="AK332" s="83" t="str">
        <f t="shared" si="23"/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 t="shared" si="20"/>
        <v/>
      </c>
      <c r="AE333" s="80" t="str">
        <f t="shared" si="21"/>
        <v/>
      </c>
      <c r="AF333" s="81"/>
      <c r="AG333" s="77"/>
      <c r="AH333" s="81"/>
      <c r="AI333" s="77"/>
      <c r="AJ333" s="82" t="str">
        <f t="shared" si="22"/>
        <v/>
      </c>
      <c r="AK333" s="83" t="str">
        <f t="shared" si="23"/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 t="shared" si="20"/>
        <v/>
      </c>
      <c r="AE334" s="80" t="str">
        <f t="shared" si="21"/>
        <v/>
      </c>
      <c r="AF334" s="81"/>
      <c r="AG334" s="77"/>
      <c r="AH334" s="81"/>
      <c r="AI334" s="77"/>
      <c r="AJ334" s="82" t="str">
        <f t="shared" si="22"/>
        <v/>
      </c>
      <c r="AK334" s="83" t="str">
        <f t="shared" si="23"/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 t="shared" si="20"/>
        <v/>
      </c>
      <c r="AE335" s="80" t="str">
        <f t="shared" si="21"/>
        <v/>
      </c>
      <c r="AF335" s="81"/>
      <c r="AG335" s="77"/>
      <c r="AH335" s="81"/>
      <c r="AI335" s="77"/>
      <c r="AJ335" s="82" t="str">
        <f t="shared" si="22"/>
        <v/>
      </c>
      <c r="AK335" s="83" t="str">
        <f t="shared" si="23"/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 t="shared" si="20"/>
        <v/>
      </c>
      <c r="AE336" s="80" t="str">
        <f t="shared" si="21"/>
        <v/>
      </c>
      <c r="AF336" s="81"/>
      <c r="AG336" s="77"/>
      <c r="AH336" s="81"/>
      <c r="AI336" s="77"/>
      <c r="AJ336" s="82" t="str">
        <f t="shared" si="22"/>
        <v/>
      </c>
      <c r="AK336" s="83" t="str">
        <f t="shared" si="23"/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 t="shared" si="20"/>
        <v/>
      </c>
      <c r="AE337" s="80" t="str">
        <f t="shared" si="21"/>
        <v/>
      </c>
      <c r="AF337" s="81"/>
      <c r="AG337" s="77"/>
      <c r="AH337" s="81"/>
      <c r="AI337" s="77"/>
      <c r="AJ337" s="82" t="str">
        <f t="shared" si="22"/>
        <v/>
      </c>
      <c r="AK337" s="83" t="str">
        <f t="shared" si="23"/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 t="shared" si="20"/>
        <v/>
      </c>
      <c r="AE338" s="80" t="str">
        <f t="shared" si="21"/>
        <v/>
      </c>
      <c r="AF338" s="81"/>
      <c r="AG338" s="77"/>
      <c r="AH338" s="81"/>
      <c r="AI338" s="77"/>
      <c r="AJ338" s="82" t="str">
        <f t="shared" si="22"/>
        <v/>
      </c>
      <c r="AK338" s="83" t="str">
        <f t="shared" si="23"/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 t="shared" si="20"/>
        <v/>
      </c>
      <c r="AE339" s="80" t="str">
        <f t="shared" si="21"/>
        <v/>
      </c>
      <c r="AF339" s="81"/>
      <c r="AG339" s="77"/>
      <c r="AH339" s="81"/>
      <c r="AI339" s="77"/>
      <c r="AJ339" s="82" t="str">
        <f t="shared" si="22"/>
        <v/>
      </c>
      <c r="AK339" s="83" t="str">
        <f t="shared" si="23"/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 t="shared" si="20"/>
        <v/>
      </c>
      <c r="AE340" s="80" t="str">
        <f t="shared" si="21"/>
        <v/>
      </c>
      <c r="AF340" s="81"/>
      <c r="AG340" s="77"/>
      <c r="AH340" s="81"/>
      <c r="AI340" s="77"/>
      <c r="AJ340" s="82" t="str">
        <f t="shared" si="22"/>
        <v/>
      </c>
      <c r="AK340" s="83" t="str">
        <f t="shared" si="23"/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 t="shared" si="20"/>
        <v/>
      </c>
      <c r="AE341" s="80" t="str">
        <f t="shared" si="21"/>
        <v/>
      </c>
      <c r="AF341" s="81"/>
      <c r="AG341" s="77"/>
      <c r="AH341" s="81"/>
      <c r="AI341" s="77"/>
      <c r="AJ341" s="82" t="str">
        <f t="shared" si="22"/>
        <v/>
      </c>
      <c r="AK341" s="83" t="str">
        <f t="shared" si="23"/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 t="shared" si="20"/>
        <v/>
      </c>
      <c r="AE342" s="80" t="str">
        <f t="shared" si="21"/>
        <v/>
      </c>
      <c r="AF342" s="81"/>
      <c r="AG342" s="77"/>
      <c r="AH342" s="81"/>
      <c r="AI342" s="77"/>
      <c r="AJ342" s="82" t="str">
        <f t="shared" si="22"/>
        <v/>
      </c>
      <c r="AK342" s="83" t="str">
        <f t="shared" si="23"/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 t="shared" si="20"/>
        <v/>
      </c>
      <c r="AE343" s="80" t="str">
        <f t="shared" si="21"/>
        <v/>
      </c>
      <c r="AF343" s="81"/>
      <c r="AG343" s="77"/>
      <c r="AH343" s="81"/>
      <c r="AI343" s="77"/>
      <c r="AJ343" s="82" t="str">
        <f t="shared" si="22"/>
        <v/>
      </c>
      <c r="AK343" s="83" t="str">
        <f t="shared" si="23"/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 t="shared" si="20"/>
        <v/>
      </c>
      <c r="AE344" s="80" t="str">
        <f t="shared" si="21"/>
        <v/>
      </c>
      <c r="AF344" s="81"/>
      <c r="AG344" s="77"/>
      <c r="AH344" s="81"/>
      <c r="AI344" s="77"/>
      <c r="AJ344" s="82" t="str">
        <f t="shared" si="22"/>
        <v/>
      </c>
      <c r="AK344" s="83" t="str">
        <f t="shared" si="23"/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 t="shared" si="20"/>
        <v/>
      </c>
      <c r="AE345" s="80" t="str">
        <f t="shared" si="21"/>
        <v/>
      </c>
      <c r="AF345" s="81"/>
      <c r="AG345" s="77"/>
      <c r="AH345" s="81"/>
      <c r="AI345" s="77"/>
      <c r="AJ345" s="82" t="str">
        <f t="shared" si="22"/>
        <v/>
      </c>
      <c r="AK345" s="83" t="str">
        <f t="shared" si="23"/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 t="shared" si="20"/>
        <v/>
      </c>
      <c r="AE346" s="80" t="str">
        <f t="shared" si="21"/>
        <v/>
      </c>
      <c r="AF346" s="81"/>
      <c r="AG346" s="77"/>
      <c r="AH346" s="81"/>
      <c r="AI346" s="77"/>
      <c r="AJ346" s="82" t="str">
        <f t="shared" si="22"/>
        <v/>
      </c>
      <c r="AK346" s="83" t="str">
        <f t="shared" si="23"/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 t="shared" si="20"/>
        <v/>
      </c>
      <c r="AE347" s="80" t="str">
        <f t="shared" si="21"/>
        <v/>
      </c>
      <c r="AF347" s="81"/>
      <c r="AG347" s="77"/>
      <c r="AH347" s="81"/>
      <c r="AI347" s="77"/>
      <c r="AJ347" s="82" t="str">
        <f t="shared" si="22"/>
        <v/>
      </c>
      <c r="AK347" s="83" t="str">
        <f t="shared" si="23"/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 t="shared" si="20"/>
        <v/>
      </c>
      <c r="AE348" s="80" t="str">
        <f t="shared" si="21"/>
        <v/>
      </c>
      <c r="AF348" s="81"/>
      <c r="AG348" s="77"/>
      <c r="AH348" s="81"/>
      <c r="AI348" s="77"/>
      <c r="AJ348" s="82" t="str">
        <f t="shared" si="22"/>
        <v/>
      </c>
      <c r="AK348" s="83" t="str">
        <f t="shared" si="23"/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 t="shared" si="20"/>
        <v/>
      </c>
      <c r="AE349" s="80" t="str">
        <f t="shared" si="21"/>
        <v/>
      </c>
      <c r="AF349" s="81"/>
      <c r="AG349" s="77"/>
      <c r="AH349" s="81"/>
      <c r="AI349" s="77"/>
      <c r="AJ349" s="82" t="str">
        <f t="shared" si="22"/>
        <v/>
      </c>
      <c r="AK349" s="83" t="str">
        <f t="shared" si="23"/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 t="shared" si="20"/>
        <v/>
      </c>
      <c r="AE350" s="80" t="str">
        <f t="shared" si="21"/>
        <v/>
      </c>
      <c r="AF350" s="81"/>
      <c r="AG350" s="77"/>
      <c r="AH350" s="81"/>
      <c r="AI350" s="77"/>
      <c r="AJ350" s="82" t="str">
        <f t="shared" si="22"/>
        <v/>
      </c>
      <c r="AK350" s="83" t="str">
        <f t="shared" si="23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0">
    <cfRule type="cellIs" dxfId="3619" priority="8497" stopIfTrue="1" operator="equal">
      <formula>"En cours"</formula>
    </cfRule>
  </conditionalFormatting>
  <conditionalFormatting sqref="AJ30">
    <cfRule type="cellIs" dxfId="3618" priority="8498" stopIfTrue="1" operator="notEqual">
      <formula>"En cours"</formula>
    </cfRule>
  </conditionalFormatting>
  <conditionalFormatting sqref="AK30">
    <cfRule type="cellIs" dxfId="3617" priority="8499" stopIfTrue="1" operator="equal">
      <formula>"En cours"</formula>
    </cfRule>
  </conditionalFormatting>
  <conditionalFormatting sqref="AK30">
    <cfRule type="cellIs" dxfId="3616" priority="8500" stopIfTrue="1" operator="notEqual">
      <formula>"En cours"</formula>
    </cfRule>
  </conditionalFormatting>
  <conditionalFormatting sqref="AJ36">
    <cfRule type="cellIs" dxfId="3615" priority="8633" stopIfTrue="1" operator="equal">
      <formula>"En cours"</formula>
    </cfRule>
    <cfRule type="cellIs" dxfId="3614" priority="8634" stopIfTrue="1" operator="notEqual">
      <formula>"En cours"</formula>
    </cfRule>
  </conditionalFormatting>
  <conditionalFormatting sqref="AK36">
    <cfRule type="cellIs" dxfId="3613" priority="8635" stopIfTrue="1" operator="equal">
      <formula>"En cours"</formula>
    </cfRule>
    <cfRule type="cellIs" dxfId="3612" priority="8636" stopIfTrue="1" operator="notEqual">
      <formula>"En cours"</formula>
    </cfRule>
  </conditionalFormatting>
  <conditionalFormatting sqref="AJ35">
    <cfRule type="cellIs" dxfId="3611" priority="8637" stopIfTrue="1" operator="equal">
      <formula>"En cours"</formula>
    </cfRule>
  </conditionalFormatting>
  <conditionalFormatting sqref="AJ35">
    <cfRule type="cellIs" dxfId="3610" priority="8638" stopIfTrue="1" operator="notEqual">
      <formula>"En cours"</formula>
    </cfRule>
  </conditionalFormatting>
  <conditionalFormatting sqref="AK35">
    <cfRule type="cellIs" dxfId="3609" priority="8639" stopIfTrue="1" operator="equal">
      <formula>"En cours"</formula>
    </cfRule>
  </conditionalFormatting>
  <conditionalFormatting sqref="AK35">
    <cfRule type="cellIs" dxfId="3608" priority="8640" stopIfTrue="1" operator="notEqual">
      <formula>"En cours"</formula>
    </cfRule>
  </conditionalFormatting>
  <conditionalFormatting sqref="AJ33">
    <cfRule type="cellIs" dxfId="3607" priority="8641" stopIfTrue="1" operator="equal">
      <formula>"En cours"</formula>
    </cfRule>
  </conditionalFormatting>
  <conditionalFormatting sqref="AJ33">
    <cfRule type="cellIs" dxfId="3606" priority="8642" stopIfTrue="1" operator="notEqual">
      <formula>"En cours"</formula>
    </cfRule>
  </conditionalFormatting>
  <conditionalFormatting sqref="AK33">
    <cfRule type="cellIs" dxfId="3605" priority="8643" stopIfTrue="1" operator="equal">
      <formula>"En cours"</formula>
    </cfRule>
  </conditionalFormatting>
  <conditionalFormatting sqref="AK33">
    <cfRule type="cellIs" dxfId="3604" priority="8644" stopIfTrue="1" operator="notEqual">
      <formula>"En cours"</formula>
    </cfRule>
  </conditionalFormatting>
  <conditionalFormatting sqref="AJ29">
    <cfRule type="cellIs" dxfId="3603" priority="8693" stopIfTrue="1" operator="equal">
      <formula>"En cours"</formula>
    </cfRule>
  </conditionalFormatting>
  <conditionalFormatting sqref="AJ29">
    <cfRule type="cellIs" dxfId="3602" priority="8694" stopIfTrue="1" operator="notEqual">
      <formula>"En cours"</formula>
    </cfRule>
  </conditionalFormatting>
  <conditionalFormatting sqref="AK29">
    <cfRule type="cellIs" dxfId="3601" priority="8695" stopIfTrue="1" operator="equal">
      <formula>"En cours"</formula>
    </cfRule>
  </conditionalFormatting>
  <conditionalFormatting sqref="AK29">
    <cfRule type="cellIs" dxfId="3600" priority="8696" stopIfTrue="1" operator="notEqual">
      <formula>"En cours"</formula>
    </cfRule>
  </conditionalFormatting>
  <conditionalFormatting sqref="AJ32">
    <cfRule type="cellIs" dxfId="3599" priority="8697" stopIfTrue="1" operator="equal">
      <formula>"En cours"</formula>
    </cfRule>
  </conditionalFormatting>
  <conditionalFormatting sqref="AJ32">
    <cfRule type="cellIs" dxfId="3598" priority="8698" stopIfTrue="1" operator="notEqual">
      <formula>"En cours"</formula>
    </cfRule>
  </conditionalFormatting>
  <conditionalFormatting sqref="AK32">
    <cfRule type="cellIs" dxfId="3597" priority="8699" stopIfTrue="1" operator="equal">
      <formula>"En cours"</formula>
    </cfRule>
  </conditionalFormatting>
  <conditionalFormatting sqref="AK32">
    <cfRule type="cellIs" dxfId="3596" priority="8700" stopIfTrue="1" operator="notEqual">
      <formula>"En cours"</formula>
    </cfRule>
  </conditionalFormatting>
  <conditionalFormatting sqref="AJ31">
    <cfRule type="cellIs" dxfId="3595" priority="8701" stopIfTrue="1" operator="equal">
      <formula>"En cours"</formula>
    </cfRule>
  </conditionalFormatting>
  <conditionalFormatting sqref="AJ31">
    <cfRule type="cellIs" dxfId="3594" priority="8702" stopIfTrue="1" operator="notEqual">
      <formula>"En cours"</formula>
    </cfRule>
  </conditionalFormatting>
  <conditionalFormatting sqref="AK31">
    <cfRule type="cellIs" dxfId="3593" priority="8703" stopIfTrue="1" operator="equal">
      <formula>"En cours"</formula>
    </cfRule>
  </conditionalFormatting>
  <conditionalFormatting sqref="AK31">
    <cfRule type="cellIs" dxfId="3592" priority="8704" stopIfTrue="1" operator="notEqual">
      <formula>"En cours"</formula>
    </cfRule>
  </conditionalFormatting>
  <conditionalFormatting sqref="AJ27">
    <cfRule type="cellIs" dxfId="3591" priority="8705" stopIfTrue="1" operator="equal">
      <formula>"En cours"</formula>
    </cfRule>
  </conditionalFormatting>
  <conditionalFormatting sqref="AJ27">
    <cfRule type="cellIs" dxfId="3590" priority="8706" stopIfTrue="1" operator="notEqual">
      <formula>"En cours"</formula>
    </cfRule>
  </conditionalFormatting>
  <conditionalFormatting sqref="AK27">
    <cfRule type="cellIs" dxfId="3589" priority="8707" stopIfTrue="1" operator="equal">
      <formula>"En cours"</formula>
    </cfRule>
  </conditionalFormatting>
  <conditionalFormatting sqref="AK27">
    <cfRule type="cellIs" dxfId="3588" priority="8708" stopIfTrue="1" operator="notEqual">
      <formula>"En cours"</formula>
    </cfRule>
  </conditionalFormatting>
  <conditionalFormatting sqref="AJ34">
    <cfRule type="cellIs" dxfId="3587" priority="8717" stopIfTrue="1" operator="equal">
      <formula>"En cours"</formula>
    </cfRule>
  </conditionalFormatting>
  <conditionalFormatting sqref="AJ34">
    <cfRule type="cellIs" dxfId="3586" priority="8718" stopIfTrue="1" operator="notEqual">
      <formula>"En cours"</formula>
    </cfRule>
  </conditionalFormatting>
  <conditionalFormatting sqref="AK34">
    <cfRule type="cellIs" dxfId="3585" priority="8719" stopIfTrue="1" operator="equal">
      <formula>"En cours"</formula>
    </cfRule>
  </conditionalFormatting>
  <conditionalFormatting sqref="AK34">
    <cfRule type="cellIs" dxfId="3584" priority="8720" stopIfTrue="1" operator="notEqual">
      <formula>"En cours"</formula>
    </cfRule>
  </conditionalFormatting>
  <conditionalFormatting sqref="AJ28">
    <cfRule type="cellIs" dxfId="3583" priority="8725" stopIfTrue="1" operator="equal">
      <formula>"En cours"</formula>
    </cfRule>
  </conditionalFormatting>
  <conditionalFormatting sqref="AJ28">
    <cfRule type="cellIs" dxfId="3582" priority="8726" stopIfTrue="1" operator="notEqual">
      <formula>"En cours"</formula>
    </cfRule>
  </conditionalFormatting>
  <conditionalFormatting sqref="AK28">
    <cfRule type="cellIs" dxfId="3581" priority="8727" stopIfTrue="1" operator="equal">
      <formula>"En cours"</formula>
    </cfRule>
  </conditionalFormatting>
  <conditionalFormatting sqref="AK28">
    <cfRule type="cellIs" dxfId="3580" priority="8728" stopIfTrue="1" operator="notEqual">
      <formula>"En cours"</formula>
    </cfRule>
  </conditionalFormatting>
  <conditionalFormatting sqref="AJ23">
    <cfRule type="cellIs" dxfId="3579" priority="12397" stopIfTrue="1" operator="equal">
      <formula>"En cours"</formula>
    </cfRule>
  </conditionalFormatting>
  <conditionalFormatting sqref="AJ23">
    <cfRule type="cellIs" dxfId="3578" priority="12398" stopIfTrue="1" operator="notEqual">
      <formula>"En cours"</formula>
    </cfRule>
  </conditionalFormatting>
  <conditionalFormatting sqref="AK23">
    <cfRule type="cellIs" dxfId="3577" priority="12399" stopIfTrue="1" operator="equal">
      <formula>"En cours"</formula>
    </cfRule>
  </conditionalFormatting>
  <conditionalFormatting sqref="AK23">
    <cfRule type="cellIs" dxfId="3576" priority="12400" stopIfTrue="1" operator="notEqual">
      <formula>"En cours"</formula>
    </cfRule>
  </conditionalFormatting>
  <conditionalFormatting sqref="AJ25">
    <cfRule type="cellIs" dxfId="3575" priority="12429" stopIfTrue="1" operator="equal">
      <formula>"En cours"</formula>
    </cfRule>
  </conditionalFormatting>
  <conditionalFormatting sqref="AJ25">
    <cfRule type="cellIs" dxfId="3574" priority="12430" stopIfTrue="1" operator="notEqual">
      <formula>"En cours"</formula>
    </cfRule>
  </conditionalFormatting>
  <conditionalFormatting sqref="AK25">
    <cfRule type="cellIs" dxfId="3573" priority="12431" stopIfTrue="1" operator="equal">
      <formula>"En cours"</formula>
    </cfRule>
  </conditionalFormatting>
  <conditionalFormatting sqref="AK25">
    <cfRule type="cellIs" dxfId="3572" priority="12432" stopIfTrue="1" operator="notEqual">
      <formula>"En cours"</formula>
    </cfRule>
  </conditionalFormatting>
  <conditionalFormatting sqref="AJ26">
    <cfRule type="cellIs" dxfId="3571" priority="12573" stopIfTrue="1" operator="equal">
      <formula>"En cours"</formula>
    </cfRule>
    <cfRule type="cellIs" dxfId="3570" priority="12574" stopIfTrue="1" operator="notEqual">
      <formula>"En cours"</formula>
    </cfRule>
  </conditionalFormatting>
  <conditionalFormatting sqref="AK26">
    <cfRule type="cellIs" dxfId="3569" priority="12575" stopIfTrue="1" operator="equal">
      <formula>"En cours"</formula>
    </cfRule>
    <cfRule type="cellIs" dxfId="3568" priority="12576" stopIfTrue="1" operator="notEqual">
      <formula>"En cours"</formula>
    </cfRule>
  </conditionalFormatting>
  <conditionalFormatting sqref="AJ24">
    <cfRule type="cellIs" dxfId="3563" priority="12641" stopIfTrue="1" operator="equal">
      <formula>"En cours"</formula>
    </cfRule>
  </conditionalFormatting>
  <conditionalFormatting sqref="AJ24">
    <cfRule type="cellIs" dxfId="3562" priority="12642" stopIfTrue="1" operator="notEqual">
      <formula>"En cours"</formula>
    </cfRule>
  </conditionalFormatting>
  <conditionalFormatting sqref="AK24">
    <cfRule type="cellIs" dxfId="3561" priority="12643" stopIfTrue="1" operator="equal">
      <formula>"En cours"</formula>
    </cfRule>
  </conditionalFormatting>
  <conditionalFormatting sqref="AK24">
    <cfRule type="cellIs" dxfId="3560" priority="12644" stopIfTrue="1" operator="notEqual">
      <formula>"En cours"</formula>
    </cfRule>
  </conditionalFormatting>
  <conditionalFormatting sqref="AJ22">
    <cfRule type="cellIs" dxfId="2815" priority="13797" stopIfTrue="1" operator="equal">
      <formula>"En cours"</formula>
    </cfRule>
    <cfRule type="cellIs" dxfId="2814" priority="13798" stopIfTrue="1" operator="notEqual">
      <formula>"En cours"</formula>
    </cfRule>
  </conditionalFormatting>
  <conditionalFormatting sqref="AK22">
    <cfRule type="cellIs" dxfId="2813" priority="13799" stopIfTrue="1" operator="equal">
      <formula>"En cours"</formula>
    </cfRule>
    <cfRule type="cellIs" dxfId="2812" priority="13800" stopIfTrue="1" operator="notEqual">
      <formula>"En cours"</formula>
    </cfRule>
  </conditionalFormatting>
  <conditionalFormatting sqref="AJ21">
    <cfRule type="cellIs" dxfId="2615" priority="13997" stopIfTrue="1" operator="equal">
      <formula>"En cours"</formula>
    </cfRule>
  </conditionalFormatting>
  <conditionalFormatting sqref="AJ21">
    <cfRule type="cellIs" dxfId="2614" priority="13998" stopIfTrue="1" operator="notEqual">
      <formula>"En cours"</formula>
    </cfRule>
  </conditionalFormatting>
  <conditionalFormatting sqref="AK21">
    <cfRule type="cellIs" dxfId="2613" priority="13999" stopIfTrue="1" operator="equal">
      <formula>"En cours"</formula>
    </cfRule>
  </conditionalFormatting>
  <conditionalFormatting sqref="AK21">
    <cfRule type="cellIs" dxfId="2612" priority="14000" stopIfTrue="1" operator="notEqual">
      <formula>"En cours"</formula>
    </cfRule>
  </conditionalFormatting>
  <conditionalFormatting sqref="AJ5">
    <cfRule type="cellIs" dxfId="227" priority="16385" stopIfTrue="1" operator="equal">
      <formula>"En cours"</formula>
    </cfRule>
  </conditionalFormatting>
  <conditionalFormatting sqref="AJ5">
    <cfRule type="cellIs" dxfId="226" priority="16386" stopIfTrue="1" operator="notEqual">
      <formula>"En cours"</formula>
    </cfRule>
  </conditionalFormatting>
  <conditionalFormatting sqref="AK5">
    <cfRule type="cellIs" dxfId="225" priority="16387" stopIfTrue="1" operator="equal">
      <formula>"En cours"</formula>
    </cfRule>
  </conditionalFormatting>
  <conditionalFormatting sqref="AK5">
    <cfRule type="cellIs" dxfId="224" priority="16388" stopIfTrue="1" operator="notEqual">
      <formula>"En cours"</formula>
    </cfRule>
  </conditionalFormatting>
  <conditionalFormatting sqref="AJ6">
    <cfRule type="cellIs" dxfId="223" priority="16389" stopIfTrue="1" operator="equal">
      <formula>"En cours"</formula>
    </cfRule>
  </conditionalFormatting>
  <conditionalFormatting sqref="AJ6">
    <cfRule type="cellIs" dxfId="222" priority="16390" stopIfTrue="1" operator="notEqual">
      <formula>"En cours"</formula>
    </cfRule>
  </conditionalFormatting>
  <conditionalFormatting sqref="AK6">
    <cfRule type="cellIs" dxfId="221" priority="16391" stopIfTrue="1" operator="equal">
      <formula>"En cours"</formula>
    </cfRule>
  </conditionalFormatting>
  <conditionalFormatting sqref="AK6">
    <cfRule type="cellIs" dxfId="220" priority="16392" stopIfTrue="1" operator="notEqual">
      <formula>"En cours"</formula>
    </cfRule>
  </conditionalFormatting>
  <conditionalFormatting sqref="AJ4">
    <cfRule type="cellIs" dxfId="219" priority="16393" stopIfTrue="1" operator="equal">
      <formula>"En cours"</formula>
    </cfRule>
    <cfRule type="cellIs" dxfId="218" priority="16394" stopIfTrue="1" operator="notEqual">
      <formula>"En cours"</formula>
    </cfRule>
  </conditionalFormatting>
  <conditionalFormatting sqref="AK4">
    <cfRule type="cellIs" dxfId="217" priority="16395" stopIfTrue="1" operator="equal">
      <formula>"En cours"</formula>
    </cfRule>
    <cfRule type="cellIs" dxfId="216" priority="16396" stopIfTrue="1" operator="notEqual">
      <formula>"En cours"</formula>
    </cfRule>
  </conditionalFormatting>
  <conditionalFormatting sqref="AJ7">
    <cfRule type="cellIs" dxfId="215" priority="16397" stopIfTrue="1" operator="equal">
      <formula>"En cours"</formula>
    </cfRule>
  </conditionalFormatting>
  <conditionalFormatting sqref="AJ7">
    <cfRule type="cellIs" dxfId="214" priority="16398" stopIfTrue="1" operator="notEqual">
      <formula>"En cours"</formula>
    </cfRule>
  </conditionalFormatting>
  <conditionalFormatting sqref="AK7">
    <cfRule type="cellIs" dxfId="213" priority="16399" stopIfTrue="1" operator="equal">
      <formula>"En cours"</formula>
    </cfRule>
  </conditionalFormatting>
  <conditionalFormatting sqref="AK7">
    <cfRule type="cellIs" dxfId="212" priority="16400" stopIfTrue="1" operator="notEqual">
      <formula>"En cours"</formula>
    </cfRule>
  </conditionalFormatting>
  <conditionalFormatting sqref="AJ8">
    <cfRule type="cellIs" dxfId="211" priority="16401" stopIfTrue="1" operator="equal">
      <formula>"En cours"</formula>
    </cfRule>
  </conditionalFormatting>
  <conditionalFormatting sqref="AJ8">
    <cfRule type="cellIs" dxfId="210" priority="16402" stopIfTrue="1" operator="notEqual">
      <formula>"En cours"</formula>
    </cfRule>
  </conditionalFormatting>
  <conditionalFormatting sqref="AK8">
    <cfRule type="cellIs" dxfId="209" priority="16403" stopIfTrue="1" operator="equal">
      <formula>"En cours"</formula>
    </cfRule>
  </conditionalFormatting>
  <conditionalFormatting sqref="AK8">
    <cfRule type="cellIs" dxfId="208" priority="16404" stopIfTrue="1" operator="notEqual">
      <formula>"En cours"</formula>
    </cfRule>
  </conditionalFormatting>
  <conditionalFormatting sqref="AJ9">
    <cfRule type="cellIs" dxfId="207" priority="16405" stopIfTrue="1" operator="equal">
      <formula>"En cours"</formula>
    </cfRule>
  </conditionalFormatting>
  <conditionalFormatting sqref="AJ9">
    <cfRule type="cellIs" dxfId="206" priority="16406" stopIfTrue="1" operator="notEqual">
      <formula>"En cours"</formula>
    </cfRule>
  </conditionalFormatting>
  <conditionalFormatting sqref="AK9">
    <cfRule type="cellIs" dxfId="205" priority="16407" stopIfTrue="1" operator="equal">
      <formula>"En cours"</formula>
    </cfRule>
  </conditionalFormatting>
  <conditionalFormatting sqref="AK9">
    <cfRule type="cellIs" dxfId="204" priority="16408" stopIfTrue="1" operator="notEqual">
      <formula>"En cours"</formula>
    </cfRule>
  </conditionalFormatting>
  <conditionalFormatting sqref="AJ10">
    <cfRule type="cellIs" dxfId="203" priority="16409" stopIfTrue="1" operator="equal">
      <formula>"En cours"</formula>
    </cfRule>
  </conditionalFormatting>
  <conditionalFormatting sqref="AJ10">
    <cfRule type="cellIs" dxfId="202" priority="16410" stopIfTrue="1" operator="notEqual">
      <formula>"En cours"</formula>
    </cfRule>
  </conditionalFormatting>
  <conditionalFormatting sqref="AK10">
    <cfRule type="cellIs" dxfId="201" priority="16411" stopIfTrue="1" operator="equal">
      <formula>"En cours"</formula>
    </cfRule>
  </conditionalFormatting>
  <conditionalFormatting sqref="AK10">
    <cfRule type="cellIs" dxfId="200" priority="16412" stopIfTrue="1" operator="notEqual">
      <formula>"En cours"</formula>
    </cfRule>
  </conditionalFormatting>
  <conditionalFormatting sqref="AJ11">
    <cfRule type="cellIs" dxfId="199" priority="16413" stopIfTrue="1" operator="equal">
      <formula>"En cours"</formula>
    </cfRule>
  </conditionalFormatting>
  <conditionalFormatting sqref="AJ11">
    <cfRule type="cellIs" dxfId="198" priority="16414" stopIfTrue="1" operator="notEqual">
      <formula>"En cours"</formula>
    </cfRule>
  </conditionalFormatting>
  <conditionalFormatting sqref="AK11">
    <cfRule type="cellIs" dxfId="197" priority="16415" stopIfTrue="1" operator="equal">
      <formula>"En cours"</formula>
    </cfRule>
  </conditionalFormatting>
  <conditionalFormatting sqref="AK11">
    <cfRule type="cellIs" dxfId="196" priority="16416" stopIfTrue="1" operator="notEqual">
      <formula>"En cours"</formula>
    </cfRule>
  </conditionalFormatting>
  <conditionalFormatting sqref="AJ12">
    <cfRule type="cellIs" dxfId="195" priority="16417" stopIfTrue="1" operator="equal">
      <formula>"En cours"</formula>
    </cfRule>
  </conditionalFormatting>
  <conditionalFormatting sqref="AJ12">
    <cfRule type="cellIs" dxfId="194" priority="16418" stopIfTrue="1" operator="notEqual">
      <formula>"En cours"</formula>
    </cfRule>
  </conditionalFormatting>
  <conditionalFormatting sqref="AK12">
    <cfRule type="cellIs" dxfId="193" priority="16419" stopIfTrue="1" operator="equal">
      <formula>"En cours"</formula>
    </cfRule>
  </conditionalFormatting>
  <conditionalFormatting sqref="AK12">
    <cfRule type="cellIs" dxfId="192" priority="16420" stopIfTrue="1" operator="notEqual">
      <formula>"En cours"</formula>
    </cfRule>
  </conditionalFormatting>
  <conditionalFormatting sqref="AJ14">
    <cfRule type="cellIs" dxfId="191" priority="16421" stopIfTrue="1" operator="equal">
      <formula>"En cours"</formula>
    </cfRule>
  </conditionalFormatting>
  <conditionalFormatting sqref="AJ14">
    <cfRule type="cellIs" dxfId="190" priority="16422" stopIfTrue="1" operator="notEqual">
      <formula>"En cours"</formula>
    </cfRule>
  </conditionalFormatting>
  <conditionalFormatting sqref="AK14">
    <cfRule type="cellIs" dxfId="189" priority="16423" stopIfTrue="1" operator="equal">
      <formula>"En cours"</formula>
    </cfRule>
  </conditionalFormatting>
  <conditionalFormatting sqref="AK14">
    <cfRule type="cellIs" dxfId="188" priority="16424" stopIfTrue="1" operator="notEqual">
      <formula>"En cours"</formula>
    </cfRule>
  </conditionalFormatting>
  <conditionalFormatting sqref="AJ13">
    <cfRule type="cellIs" dxfId="187" priority="16425" stopIfTrue="1" operator="equal">
      <formula>"En cours"</formula>
    </cfRule>
  </conditionalFormatting>
  <conditionalFormatting sqref="AJ13">
    <cfRule type="cellIs" dxfId="186" priority="16426" stopIfTrue="1" operator="notEqual">
      <formula>"En cours"</formula>
    </cfRule>
  </conditionalFormatting>
  <conditionalFormatting sqref="AK13">
    <cfRule type="cellIs" dxfId="185" priority="16427" stopIfTrue="1" operator="equal">
      <formula>"En cours"</formula>
    </cfRule>
  </conditionalFormatting>
  <conditionalFormatting sqref="AK13">
    <cfRule type="cellIs" dxfId="184" priority="16428" stopIfTrue="1" operator="notEqual">
      <formula>"En cours"</formula>
    </cfRule>
  </conditionalFormatting>
  <conditionalFormatting sqref="AJ16">
    <cfRule type="cellIs" dxfId="183" priority="16429" stopIfTrue="1" operator="equal">
      <formula>"En cours"</formula>
    </cfRule>
  </conditionalFormatting>
  <conditionalFormatting sqref="AJ16">
    <cfRule type="cellIs" dxfId="182" priority="16430" stopIfTrue="1" operator="notEqual">
      <formula>"En cours"</formula>
    </cfRule>
  </conditionalFormatting>
  <conditionalFormatting sqref="AK16">
    <cfRule type="cellIs" dxfId="181" priority="16431" stopIfTrue="1" operator="equal">
      <formula>"En cours"</formula>
    </cfRule>
  </conditionalFormatting>
  <conditionalFormatting sqref="AK16">
    <cfRule type="cellIs" dxfId="180" priority="16432" stopIfTrue="1" operator="notEqual">
      <formula>"En cours"</formula>
    </cfRule>
  </conditionalFormatting>
  <conditionalFormatting sqref="AJ15">
    <cfRule type="cellIs" dxfId="179" priority="16433" stopIfTrue="1" operator="equal">
      <formula>"En cours"</formula>
    </cfRule>
  </conditionalFormatting>
  <conditionalFormatting sqref="AJ15">
    <cfRule type="cellIs" dxfId="178" priority="16434" stopIfTrue="1" operator="notEqual">
      <formula>"En cours"</formula>
    </cfRule>
  </conditionalFormatting>
  <conditionalFormatting sqref="AK15">
    <cfRule type="cellIs" dxfId="177" priority="16435" stopIfTrue="1" operator="equal">
      <formula>"En cours"</formula>
    </cfRule>
  </conditionalFormatting>
  <conditionalFormatting sqref="AK15">
    <cfRule type="cellIs" dxfId="176" priority="16436" stopIfTrue="1" operator="notEqual">
      <formula>"En cours"</formula>
    </cfRule>
  </conditionalFormatting>
  <conditionalFormatting sqref="AJ19">
    <cfRule type="cellIs" dxfId="175" priority="16437" stopIfTrue="1" operator="equal">
      <formula>"En cours"</formula>
    </cfRule>
  </conditionalFormatting>
  <conditionalFormatting sqref="AJ19">
    <cfRule type="cellIs" dxfId="174" priority="16438" stopIfTrue="1" operator="notEqual">
      <formula>"En cours"</formula>
    </cfRule>
  </conditionalFormatting>
  <conditionalFormatting sqref="AK19">
    <cfRule type="cellIs" dxfId="173" priority="16439" stopIfTrue="1" operator="equal">
      <formula>"En cours"</formula>
    </cfRule>
  </conditionalFormatting>
  <conditionalFormatting sqref="AK19">
    <cfRule type="cellIs" dxfId="172" priority="16440" stopIfTrue="1" operator="notEqual">
      <formula>"En cours"</formula>
    </cfRule>
  </conditionalFormatting>
  <conditionalFormatting sqref="AJ17">
    <cfRule type="cellIs" dxfId="171" priority="16441" stopIfTrue="1" operator="equal">
      <formula>"En cours"</formula>
    </cfRule>
  </conditionalFormatting>
  <conditionalFormatting sqref="AJ17">
    <cfRule type="cellIs" dxfId="170" priority="16442" stopIfTrue="1" operator="notEqual">
      <formula>"En cours"</formula>
    </cfRule>
  </conditionalFormatting>
  <conditionalFormatting sqref="AK17">
    <cfRule type="cellIs" dxfId="169" priority="16443" stopIfTrue="1" operator="equal">
      <formula>"En cours"</formula>
    </cfRule>
  </conditionalFormatting>
  <conditionalFormatting sqref="AK17">
    <cfRule type="cellIs" dxfId="168" priority="16444" stopIfTrue="1" operator="notEqual">
      <formula>"En cours"</formula>
    </cfRule>
  </conditionalFormatting>
  <conditionalFormatting sqref="AJ20">
    <cfRule type="cellIs" dxfId="167" priority="16445" stopIfTrue="1" operator="equal">
      <formula>"En cours"</formula>
    </cfRule>
  </conditionalFormatting>
  <conditionalFormatting sqref="AJ20">
    <cfRule type="cellIs" dxfId="166" priority="16446" stopIfTrue="1" operator="notEqual">
      <formula>"En cours"</formula>
    </cfRule>
  </conditionalFormatting>
  <conditionalFormatting sqref="AK20">
    <cfRule type="cellIs" dxfId="165" priority="16447" stopIfTrue="1" operator="equal">
      <formula>"En cours"</formula>
    </cfRule>
  </conditionalFormatting>
  <conditionalFormatting sqref="AK20">
    <cfRule type="cellIs" dxfId="164" priority="16448" stopIfTrue="1" operator="notEqual">
      <formula>"En cours"</formula>
    </cfRule>
  </conditionalFormatting>
  <conditionalFormatting sqref="AJ18">
    <cfRule type="cellIs" dxfId="163" priority="16449" stopIfTrue="1" operator="equal">
      <formula>"En cours"</formula>
    </cfRule>
  </conditionalFormatting>
  <conditionalFormatting sqref="AJ18">
    <cfRule type="cellIs" dxfId="162" priority="16450" stopIfTrue="1" operator="notEqual">
      <formula>"En cours"</formula>
    </cfRule>
  </conditionalFormatting>
  <conditionalFormatting sqref="AK18">
    <cfRule type="cellIs" dxfId="161" priority="16451" stopIfTrue="1" operator="equal">
      <formula>"En cours"</formula>
    </cfRule>
  </conditionalFormatting>
  <conditionalFormatting sqref="AK18">
    <cfRule type="cellIs" dxfId="160" priority="16452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15"/>
  <sheetViews>
    <sheetView workbookViewId="0">
      <pane ySplit="4" topLeftCell="A5" activePane="bottomLeft" state="frozen"/>
      <selection pane="bottomLeft" activeCell="C18" sqref="C18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4" t="s">
        <v>70</v>
      </c>
      <c r="C4" s="104" t="s">
        <v>78</v>
      </c>
      <c r="D4" s="104" t="s">
        <v>79</v>
      </c>
      <c r="E4" s="104" t="s">
        <v>71</v>
      </c>
      <c r="F4" s="104" t="s">
        <v>72</v>
      </c>
    </row>
    <row r="5" spans="2:6" x14ac:dyDescent="0.25">
      <c r="B5" s="190" t="s">
        <v>94</v>
      </c>
      <c r="C5" s="190" t="s">
        <v>74</v>
      </c>
      <c r="D5" s="190" t="s">
        <v>93</v>
      </c>
      <c r="E5" s="190" t="s">
        <v>89</v>
      </c>
      <c r="F5" s="191">
        <v>45509.036412037036</v>
      </c>
    </row>
    <row r="6" spans="2:6" x14ac:dyDescent="0.25">
      <c r="B6" s="190" t="s">
        <v>94</v>
      </c>
      <c r="C6" s="190" t="s">
        <v>74</v>
      </c>
      <c r="D6" s="190" t="s">
        <v>93</v>
      </c>
      <c r="E6" s="190" t="s">
        <v>89</v>
      </c>
      <c r="F6" s="191">
        <v>45509.036412037036</v>
      </c>
    </row>
    <row r="7" spans="2:6" x14ac:dyDescent="0.25">
      <c r="B7" s="190" t="s">
        <v>94</v>
      </c>
      <c r="C7" s="190" t="s">
        <v>74</v>
      </c>
      <c r="D7" s="190" t="s">
        <v>93</v>
      </c>
      <c r="E7" s="190" t="s">
        <v>89</v>
      </c>
      <c r="F7" s="191">
        <v>45509.036817129629</v>
      </c>
    </row>
    <row r="8" spans="2:6" x14ac:dyDescent="0.25">
      <c r="B8" s="190" t="s">
        <v>94</v>
      </c>
      <c r="C8" s="190" t="s">
        <v>74</v>
      </c>
      <c r="D8" s="190" t="s">
        <v>93</v>
      </c>
      <c r="E8" s="190" t="s">
        <v>89</v>
      </c>
      <c r="F8" s="191">
        <v>45509.037465277775</v>
      </c>
    </row>
    <row r="9" spans="2:6" x14ac:dyDescent="0.25">
      <c r="B9" s="190" t="s">
        <v>94</v>
      </c>
      <c r="C9" s="190" t="s">
        <v>74</v>
      </c>
      <c r="D9" s="190" t="s">
        <v>93</v>
      </c>
      <c r="E9" s="190" t="s">
        <v>89</v>
      </c>
      <c r="F9" s="191">
        <v>45509.038807870369</v>
      </c>
    </row>
    <row r="10" spans="2:6" x14ac:dyDescent="0.25">
      <c r="B10" s="190" t="s">
        <v>94</v>
      </c>
      <c r="C10" s="190" t="s">
        <v>74</v>
      </c>
      <c r="D10" s="190" t="s">
        <v>93</v>
      </c>
      <c r="E10" s="190" t="s">
        <v>89</v>
      </c>
      <c r="F10" s="191">
        <v>45509.039930555555</v>
      </c>
    </row>
    <row r="11" spans="2:6" x14ac:dyDescent="0.25">
      <c r="B11" s="190" t="s">
        <v>94</v>
      </c>
      <c r="C11" s="190" t="s">
        <v>74</v>
      </c>
      <c r="D11" s="190" t="s">
        <v>95</v>
      </c>
      <c r="E11" s="190" t="s">
        <v>89</v>
      </c>
      <c r="F11" s="191">
        <v>45509.040092592593</v>
      </c>
    </row>
    <row r="12" spans="2:6" x14ac:dyDescent="0.25">
      <c r="B12" s="190" t="s">
        <v>92</v>
      </c>
      <c r="C12" s="190" t="s">
        <v>74</v>
      </c>
      <c r="D12" s="190" t="s">
        <v>93</v>
      </c>
      <c r="E12" s="190" t="s">
        <v>89</v>
      </c>
      <c r="F12" s="191">
        <v>45509.040231481478</v>
      </c>
    </row>
    <row r="13" spans="2:6" x14ac:dyDescent="0.25">
      <c r="B13" s="190" t="s">
        <v>92</v>
      </c>
      <c r="C13" s="190" t="s">
        <v>73</v>
      </c>
      <c r="D13" s="190" t="s">
        <v>95</v>
      </c>
      <c r="E13" s="190" t="s">
        <v>89</v>
      </c>
      <c r="F13" s="191">
        <v>45509.040254629632</v>
      </c>
    </row>
    <row r="14" spans="2:6" x14ac:dyDescent="0.25">
      <c r="B14" s="190" t="s">
        <v>94</v>
      </c>
      <c r="C14" s="190" t="s">
        <v>73</v>
      </c>
      <c r="D14" s="190" t="s">
        <v>93</v>
      </c>
      <c r="E14" s="190" t="s">
        <v>89</v>
      </c>
      <c r="F14" s="191">
        <v>45509.040277777778</v>
      </c>
    </row>
    <row r="15" spans="2:6" x14ac:dyDescent="0.25">
      <c r="B15" s="190" t="s">
        <v>94</v>
      </c>
      <c r="C15" s="190" t="s">
        <v>73</v>
      </c>
      <c r="D15" s="190" t="s">
        <v>95</v>
      </c>
      <c r="E15" s="190" t="s">
        <v>89</v>
      </c>
      <c r="F15" s="191">
        <v>45509.040312500001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2024-08-04T23:02:08Z</dcterms:modified>
</cp:coreProperties>
</file>