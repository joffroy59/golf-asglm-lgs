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2809c9252e02a95/Bureau/W/dropbox/LGS_Application/"/>
    </mc:Choice>
  </mc:AlternateContent>
  <xr:revisionPtr revIDLastSave="41908" documentId="13_ncr:1_{87854EDD-782A-48DF-B4B8-70B1BBC258DD}" xr6:coauthVersionLast="47" xr6:coauthVersionMax="47" xr10:uidLastSave="{E865A3FC-E36E-432F-96DE-62E601F0AD08}"/>
  <bookViews>
    <workbookView xWindow="-120" yWindow="-120" windowWidth="38640" windowHeight="2124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cratchBrut">'Import Resultats Tour'!$R$16</definedName>
    <definedName name="ScratchNet">'Import Resultats Tour'!$I$16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8" i="5" l="1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E5" i="5"/>
  <c r="AK5" i="5" s="1"/>
  <c r="AD5" i="5"/>
  <c r="AJ5" i="5" s="1"/>
  <c r="AK42" i="4"/>
  <c r="AE42" i="4"/>
  <c r="AD42" i="4"/>
  <c r="AJ42" i="4" s="1"/>
  <c r="AE41" i="4"/>
  <c r="AK41" i="4" s="1"/>
  <c r="AD41" i="4"/>
  <c r="AJ41" i="4" s="1"/>
  <c r="AK40" i="4"/>
  <c r="AJ40" i="4"/>
  <c r="AE40" i="4"/>
  <c r="AD40" i="4"/>
  <c r="AK39" i="4"/>
  <c r="AJ39" i="4"/>
  <c r="AE39" i="4"/>
  <c r="AD39" i="4"/>
  <c r="AK37" i="4"/>
  <c r="AJ37" i="4"/>
  <c r="AE37" i="4"/>
  <c r="AD37" i="4"/>
  <c r="AK34" i="4"/>
  <c r="AJ34" i="4"/>
  <c r="AE34" i="4"/>
  <c r="AD34" i="4"/>
  <c r="AK38" i="4"/>
  <c r="AJ38" i="4"/>
  <c r="AE38" i="4"/>
  <c r="AD38" i="4"/>
  <c r="AK36" i="4"/>
  <c r="AJ36" i="4"/>
  <c r="AE36" i="4"/>
  <c r="AD36" i="4"/>
  <c r="AK35" i="4"/>
  <c r="AJ35" i="4"/>
  <c r="AE35" i="4"/>
  <c r="AD35" i="4"/>
  <c r="AK33" i="4"/>
  <c r="AJ33" i="4"/>
  <c r="AE33" i="4"/>
  <c r="AD33" i="4"/>
  <c r="AK32" i="4"/>
  <c r="AJ32" i="4"/>
  <c r="AE32" i="4"/>
  <c r="AD32" i="4"/>
  <c r="AK31" i="4"/>
  <c r="AJ31" i="4"/>
  <c r="AE31" i="4"/>
  <c r="AD31" i="4"/>
  <c r="AK30" i="4"/>
  <c r="AJ30" i="4"/>
  <c r="AE30" i="4"/>
  <c r="AD30" i="4"/>
  <c r="AK29" i="4"/>
  <c r="AJ29" i="4"/>
  <c r="AE29" i="4"/>
  <c r="AD29" i="4"/>
  <c r="AK25" i="4"/>
  <c r="AJ25" i="4"/>
  <c r="AE25" i="4"/>
  <c r="AD25" i="4"/>
  <c r="AK28" i="4"/>
  <c r="AJ28" i="4"/>
  <c r="AE28" i="4"/>
  <c r="AD28" i="4"/>
  <c r="AK24" i="4"/>
  <c r="AJ24" i="4"/>
  <c r="AE24" i="4"/>
  <c r="AD24" i="4"/>
  <c r="AK26" i="4"/>
  <c r="AJ26" i="4"/>
  <c r="AE26" i="4"/>
  <c r="AD26" i="4"/>
  <c r="AK27" i="4"/>
  <c r="AJ27" i="4"/>
  <c r="AE27" i="4"/>
  <c r="AD27" i="4"/>
  <c r="AK21" i="4"/>
  <c r="AJ21" i="4"/>
  <c r="AE21" i="4"/>
  <c r="AD21" i="4"/>
  <c r="AK23" i="4"/>
  <c r="AJ23" i="4"/>
  <c r="AE23" i="4"/>
  <c r="AD23" i="4"/>
  <c r="AK20" i="4"/>
  <c r="AJ20" i="4"/>
  <c r="AE20" i="4"/>
  <c r="AD20" i="4"/>
  <c r="AK22" i="4"/>
  <c r="AJ22" i="4"/>
  <c r="AE22" i="4"/>
  <c r="AD22" i="4"/>
  <c r="AK19" i="4"/>
  <c r="AJ19" i="4"/>
  <c r="AE19" i="4"/>
  <c r="AD19" i="4"/>
  <c r="AK18" i="4"/>
  <c r="AJ18" i="4"/>
  <c r="AE18" i="4"/>
  <c r="AD18" i="4"/>
  <c r="AK15" i="4"/>
  <c r="AJ15" i="4"/>
  <c r="AE15" i="4"/>
  <c r="AD15" i="4"/>
  <c r="AK17" i="4"/>
  <c r="AJ17" i="4"/>
  <c r="AE17" i="4"/>
  <c r="AD17" i="4"/>
  <c r="AK16" i="4"/>
  <c r="AJ16" i="4"/>
  <c r="AE16" i="4"/>
  <c r="AD16" i="4"/>
  <c r="AK9" i="4"/>
  <c r="AJ9" i="4"/>
  <c r="AE9" i="4"/>
  <c r="AD9" i="4"/>
  <c r="AK12" i="4"/>
  <c r="AJ12" i="4"/>
  <c r="AE12" i="4"/>
  <c r="AD12" i="4"/>
  <c r="AK13" i="4"/>
  <c r="AJ13" i="4"/>
  <c r="AE13" i="4"/>
  <c r="AD13" i="4"/>
  <c r="AK8" i="4"/>
  <c r="AJ8" i="4"/>
  <c r="AE8" i="4"/>
  <c r="AD8" i="4"/>
  <c r="AK5" i="4"/>
  <c r="AJ5" i="4"/>
  <c r="AE5" i="4"/>
  <c r="AD5" i="4"/>
  <c r="AK11" i="4"/>
  <c r="AJ11" i="4"/>
  <c r="AE11" i="4"/>
  <c r="AD11" i="4"/>
  <c r="AK14" i="4"/>
  <c r="AJ14" i="4"/>
  <c r="AE14" i="4"/>
  <c r="AD14" i="4"/>
  <c r="AK4" i="4"/>
  <c r="AJ4" i="4"/>
  <c r="AE4" i="4"/>
  <c r="AD4" i="4"/>
  <c r="AK6" i="4"/>
  <c r="AJ6" i="4"/>
  <c r="AE6" i="4"/>
  <c r="AD6" i="4"/>
  <c r="AK10" i="4"/>
  <c r="AJ10" i="4"/>
  <c r="AE10" i="4"/>
  <c r="AD10" i="4"/>
  <c r="AK7" i="4"/>
  <c r="AJ7" i="4"/>
  <c r="AE7" i="4"/>
  <c r="AD7" i="4"/>
  <c r="AE67" i="4"/>
  <c r="AK67" i="4" s="1"/>
  <c r="AD67" i="4"/>
  <c r="AJ67" i="4" s="1"/>
  <c r="AE66" i="4"/>
  <c r="AK66" i="4" s="1"/>
  <c r="AD66" i="4"/>
  <c r="AJ66" i="4" s="1"/>
  <c r="AE65" i="4"/>
  <c r="AK65" i="4" s="1"/>
  <c r="AD65" i="4"/>
  <c r="AJ65" i="4" s="1"/>
  <c r="AE64" i="4"/>
  <c r="AK64" i="4" s="1"/>
  <c r="AD64" i="4"/>
  <c r="AJ64" i="4" s="1"/>
  <c r="AE63" i="4"/>
  <c r="AK63" i="4" s="1"/>
  <c r="AD63" i="4"/>
  <c r="AJ63" i="4" s="1"/>
  <c r="AE62" i="4"/>
  <c r="AK62" i="4" s="1"/>
  <c r="AD62" i="4"/>
  <c r="AJ62" i="4" s="1"/>
  <c r="AE61" i="4"/>
  <c r="AK61" i="4" s="1"/>
  <c r="AD61" i="4"/>
  <c r="AJ61" i="4" s="1"/>
  <c r="AE60" i="4"/>
  <c r="AK60" i="4" s="1"/>
  <c r="AD60" i="4"/>
  <c r="AJ60" i="4" s="1"/>
  <c r="AE59" i="4"/>
  <c r="AK59" i="4" s="1"/>
  <c r="AD59" i="4"/>
  <c r="AJ59" i="4" s="1"/>
  <c r="AE58" i="4"/>
  <c r="AK58" i="4" s="1"/>
  <c r="AD58" i="4"/>
  <c r="AJ58" i="4" s="1"/>
  <c r="AE57" i="4"/>
  <c r="AK57" i="4" s="1"/>
  <c r="AD57" i="4"/>
  <c r="AJ57" i="4" s="1"/>
  <c r="AE56" i="4"/>
  <c r="AK56" i="4" s="1"/>
  <c r="AD56" i="4"/>
  <c r="AJ56" i="4" s="1"/>
  <c r="AE55" i="4"/>
  <c r="AK55" i="4" s="1"/>
  <c r="AD55" i="4"/>
  <c r="AJ55" i="4" s="1"/>
  <c r="AE54" i="4"/>
  <c r="AK54" i="4" s="1"/>
  <c r="AD54" i="4"/>
  <c r="AJ54" i="4" s="1"/>
  <c r="AE53" i="4"/>
  <c r="AK53" i="4" s="1"/>
  <c r="AD53" i="4"/>
  <c r="AJ53" i="4" s="1"/>
  <c r="AE52" i="4"/>
  <c r="AK52" i="4" s="1"/>
  <c r="AD52" i="4"/>
  <c r="AJ52" i="4" s="1"/>
  <c r="AE51" i="4"/>
  <c r="AK51" i="4" s="1"/>
  <c r="AD51" i="4"/>
  <c r="AJ51" i="4" s="1"/>
  <c r="AE50" i="4"/>
  <c r="AK50" i="4" s="1"/>
  <c r="AD50" i="4"/>
  <c r="AJ50" i="4" s="1"/>
  <c r="AE49" i="4"/>
  <c r="AK49" i="4" s="1"/>
  <c r="AD49" i="4"/>
  <c r="AJ49" i="4" s="1"/>
  <c r="AE48" i="4"/>
  <c r="AK48" i="4" s="1"/>
  <c r="AD48" i="4"/>
  <c r="AJ48" i="4" s="1"/>
  <c r="AE47" i="4"/>
  <c r="AK47" i="4" s="1"/>
  <c r="AD47" i="4"/>
  <c r="AJ47" i="4" s="1"/>
  <c r="AE46" i="4"/>
  <c r="AK46" i="4" s="1"/>
  <c r="AD46" i="4"/>
  <c r="AJ46" i="4" s="1"/>
  <c r="AE45" i="4"/>
  <c r="AK45" i="4" s="1"/>
  <c r="AD45" i="4"/>
  <c r="AJ45" i="4" s="1"/>
  <c r="AE44" i="4"/>
  <c r="AK44" i="4" s="1"/>
  <c r="AD44" i="4"/>
  <c r="AJ44" i="4" s="1"/>
  <c r="AE43" i="4"/>
  <c r="AK43" i="4" s="1"/>
  <c r="AD43" i="4"/>
  <c r="AJ43" i="4" s="1"/>
  <c r="AE88" i="4" l="1"/>
  <c r="AK88" i="4" s="1"/>
  <c r="AD88" i="4"/>
  <c r="AJ88" i="4" s="1"/>
  <c r="AE94" i="4"/>
  <c r="AK94" i="4" s="1"/>
  <c r="AD94" i="4"/>
  <c r="AJ94" i="4" s="1"/>
  <c r="AE85" i="4"/>
  <c r="AK85" i="4" s="1"/>
  <c r="AD85" i="4"/>
  <c r="AJ85" i="4" s="1"/>
  <c r="AE103" i="4"/>
  <c r="AK103" i="4" s="1"/>
  <c r="AD103" i="4"/>
  <c r="AJ103" i="4" s="1"/>
  <c r="AE102" i="4"/>
  <c r="AK102" i="4" s="1"/>
  <c r="AD102" i="4"/>
  <c r="AJ102" i="4" s="1"/>
  <c r="AE95" i="4"/>
  <c r="AK95" i="4" s="1"/>
  <c r="AD95" i="4"/>
  <c r="AJ95" i="4" s="1"/>
  <c r="AE99" i="4"/>
  <c r="AK99" i="4" s="1"/>
  <c r="AD99" i="4"/>
  <c r="AJ99" i="4" s="1"/>
  <c r="AE84" i="4"/>
  <c r="AK84" i="4" s="1"/>
  <c r="AD84" i="4"/>
  <c r="AJ84" i="4" s="1"/>
  <c r="AE92" i="4"/>
  <c r="AK92" i="4" s="1"/>
  <c r="AD92" i="4"/>
  <c r="AJ92" i="4" s="1"/>
  <c r="AE91" i="4"/>
  <c r="AK91" i="4" s="1"/>
  <c r="AD91" i="4"/>
  <c r="AJ91" i="4" s="1"/>
  <c r="AE98" i="4"/>
  <c r="AK98" i="4" s="1"/>
  <c r="AD98" i="4"/>
  <c r="AJ98" i="4" s="1"/>
  <c r="AE89" i="4"/>
  <c r="AK89" i="4" s="1"/>
  <c r="AD89" i="4"/>
  <c r="AJ89" i="4" s="1"/>
  <c r="AE101" i="4"/>
  <c r="AK101" i="4" s="1"/>
  <c r="AD101" i="4"/>
  <c r="AJ101" i="4" s="1"/>
  <c r="AE87" i="4"/>
  <c r="AK87" i="4" s="1"/>
  <c r="AD87" i="4"/>
  <c r="AJ87" i="4" s="1"/>
  <c r="AE72" i="4"/>
  <c r="AK72" i="4" s="1"/>
  <c r="AD72" i="4"/>
  <c r="AJ72" i="4" s="1"/>
  <c r="AE100" i="4"/>
  <c r="AK100" i="4" s="1"/>
  <c r="AD100" i="4"/>
  <c r="AJ100" i="4" s="1"/>
  <c r="AE83" i="4"/>
  <c r="AK83" i="4" s="1"/>
  <c r="AD83" i="4"/>
  <c r="AJ83" i="4" s="1"/>
  <c r="AE97" i="4"/>
  <c r="AK97" i="4" s="1"/>
  <c r="AD97" i="4"/>
  <c r="AJ97" i="4" s="1"/>
  <c r="AE80" i="4"/>
  <c r="AK80" i="4" s="1"/>
  <c r="AD80" i="4"/>
  <c r="AJ80" i="4" s="1"/>
  <c r="AE96" i="4"/>
  <c r="AK96" i="4" s="1"/>
  <c r="AD96" i="4"/>
  <c r="AJ96" i="4" s="1"/>
  <c r="AE93" i="4"/>
  <c r="AK93" i="4" s="1"/>
  <c r="AD93" i="4"/>
  <c r="AJ93" i="4" s="1"/>
  <c r="AE70" i="4"/>
  <c r="AK70" i="4" s="1"/>
  <c r="AD70" i="4"/>
  <c r="AJ70" i="4" s="1"/>
  <c r="AE90" i="4"/>
  <c r="AK90" i="4" s="1"/>
  <c r="AD90" i="4"/>
  <c r="AJ90" i="4" s="1"/>
  <c r="AE75" i="4"/>
  <c r="AK75" i="4" s="1"/>
  <c r="AD75" i="4"/>
  <c r="AJ75" i="4" s="1"/>
  <c r="AE81" i="4"/>
  <c r="AK81" i="4" s="1"/>
  <c r="AD81" i="4"/>
  <c r="AJ81" i="4" s="1"/>
  <c r="AE86" i="4"/>
  <c r="AK86" i="4" s="1"/>
  <c r="AD86" i="4"/>
  <c r="AJ86" i="4" s="1"/>
  <c r="AE82" i="4"/>
  <c r="AK82" i="4" s="1"/>
  <c r="AD82" i="4"/>
  <c r="AJ82" i="4" s="1"/>
  <c r="AE79" i="4"/>
  <c r="AK79" i="4" s="1"/>
  <c r="AD79" i="4"/>
  <c r="AJ79" i="4" s="1"/>
  <c r="AE78" i="4"/>
  <c r="AK78" i="4" s="1"/>
  <c r="AD78" i="4"/>
  <c r="AJ78" i="4" s="1"/>
  <c r="AE77" i="4"/>
  <c r="AK77" i="4" s="1"/>
  <c r="AD77" i="4"/>
  <c r="AJ77" i="4" s="1"/>
  <c r="AE68" i="4"/>
  <c r="AK68" i="4" s="1"/>
  <c r="AD68" i="4"/>
  <c r="AJ68" i="4" s="1"/>
  <c r="AE76" i="4"/>
  <c r="AK76" i="4" s="1"/>
  <c r="AD76" i="4"/>
  <c r="AJ76" i="4" s="1"/>
  <c r="AE74" i="4"/>
  <c r="AK74" i="4" s="1"/>
  <c r="AD74" i="4"/>
  <c r="AJ74" i="4" s="1"/>
  <c r="AE73" i="4"/>
  <c r="AK73" i="4" s="1"/>
  <c r="AD73" i="4"/>
  <c r="AJ73" i="4" s="1"/>
  <c r="AE71" i="4"/>
  <c r="AK71" i="4" s="1"/>
  <c r="AD71" i="4"/>
  <c r="AJ71" i="4" s="1"/>
  <c r="AE69" i="4"/>
  <c r="AK69" i="4" s="1"/>
  <c r="AD69" i="4"/>
  <c r="AJ69" i="4" s="1"/>
  <c r="AE21" i="5"/>
  <c r="AK21" i="5" s="1"/>
  <c r="AD21" i="5"/>
  <c r="AJ21" i="5" s="1"/>
  <c r="AE19" i="5"/>
  <c r="AK19" i="5" s="1"/>
  <c r="AD19" i="5"/>
  <c r="AJ19" i="5" s="1"/>
  <c r="AE20" i="5"/>
  <c r="AK20" i="5" s="1"/>
  <c r="AD20" i="5"/>
  <c r="AJ20" i="5" s="1"/>
  <c r="AE16" i="5"/>
  <c r="AK16" i="5" s="1"/>
  <c r="AD16" i="5"/>
  <c r="AJ16" i="5" s="1"/>
  <c r="AE17" i="5"/>
  <c r="AK17" i="5" s="1"/>
  <c r="AD17" i="5"/>
  <c r="AJ17" i="5" s="1"/>
  <c r="AE18" i="5"/>
  <c r="AK18" i="5" s="1"/>
  <c r="AD18" i="5"/>
  <c r="AJ18" i="5" s="1"/>
  <c r="AE13" i="5"/>
  <c r="AK13" i="5" s="1"/>
  <c r="AD13" i="5"/>
  <c r="AJ13" i="5" s="1"/>
  <c r="AE14" i="5"/>
  <c r="AK14" i="5" s="1"/>
  <c r="AD14" i="5"/>
  <c r="AJ14" i="5" s="1"/>
  <c r="AE15" i="5"/>
  <c r="AK15" i="5" s="1"/>
  <c r="AD15" i="5"/>
  <c r="AJ15" i="5" s="1"/>
  <c r="AE12" i="5"/>
  <c r="AK12" i="5" s="1"/>
  <c r="AD12" i="5"/>
  <c r="AJ12" i="5" s="1"/>
  <c r="AE11" i="5"/>
  <c r="AK11" i="5" s="1"/>
  <c r="AD11" i="5"/>
  <c r="AJ11" i="5" s="1"/>
  <c r="AE10" i="5"/>
  <c r="AK10" i="5" s="1"/>
  <c r="AD10" i="5"/>
  <c r="AJ10" i="5" s="1"/>
  <c r="AE9" i="5"/>
  <c r="AK9" i="5" s="1"/>
  <c r="AD9" i="5"/>
  <c r="AJ9" i="5" s="1"/>
  <c r="AE22" i="5"/>
  <c r="AK22" i="5" s="1"/>
  <c r="AD22" i="5"/>
  <c r="AJ22" i="5" s="1"/>
  <c r="AE25" i="5"/>
  <c r="AK25" i="5" s="1"/>
  <c r="AD25" i="5"/>
  <c r="AJ25" i="5" s="1"/>
  <c r="AE26" i="5"/>
  <c r="AK26" i="5" s="1"/>
  <c r="AD26" i="5"/>
  <c r="AJ26" i="5" s="1"/>
  <c r="AE23" i="5"/>
  <c r="AK23" i="5" s="1"/>
  <c r="AD23" i="5"/>
  <c r="AJ23" i="5" s="1"/>
  <c r="AE160" i="4"/>
  <c r="AK160" i="4" s="1"/>
  <c r="AD160" i="4"/>
  <c r="AJ160" i="4" s="1"/>
  <c r="AE105" i="4"/>
  <c r="AK105" i="4" s="1"/>
  <c r="AD105" i="4"/>
  <c r="AJ105" i="4" s="1"/>
  <c r="AE131" i="4"/>
  <c r="AK131" i="4" s="1"/>
  <c r="AD131" i="4"/>
  <c r="AJ131" i="4" s="1"/>
  <c r="AE137" i="4"/>
  <c r="AK137" i="4" s="1"/>
  <c r="AD137" i="4"/>
  <c r="AJ137" i="4" s="1"/>
  <c r="AE155" i="4"/>
  <c r="AK155" i="4" s="1"/>
  <c r="AD155" i="4"/>
  <c r="AJ155" i="4" s="1"/>
  <c r="AE113" i="4"/>
  <c r="AK113" i="4" s="1"/>
  <c r="AD113" i="4"/>
  <c r="AJ113" i="4" s="1"/>
  <c r="AE117" i="4"/>
  <c r="AK117" i="4" s="1"/>
  <c r="AD117" i="4"/>
  <c r="AJ117" i="4" s="1"/>
  <c r="AE121" i="4"/>
  <c r="AK121" i="4" s="1"/>
  <c r="AD121" i="4"/>
  <c r="AJ121" i="4" s="1"/>
  <c r="AE175" i="4"/>
  <c r="AK175" i="4" s="1"/>
  <c r="AD175" i="4"/>
  <c r="AJ175" i="4" s="1"/>
  <c r="AE109" i="4"/>
  <c r="AK109" i="4" s="1"/>
  <c r="AD109" i="4"/>
  <c r="AJ109" i="4" s="1"/>
  <c r="AE104" i="4"/>
  <c r="AK104" i="4" s="1"/>
  <c r="AD104" i="4"/>
  <c r="AJ104" i="4" s="1"/>
  <c r="AE166" i="4"/>
  <c r="AK166" i="4" s="1"/>
  <c r="AD166" i="4"/>
  <c r="AJ166" i="4" s="1"/>
  <c r="AE143" i="4"/>
  <c r="AK143" i="4" s="1"/>
  <c r="AD143" i="4"/>
  <c r="AJ143" i="4" s="1"/>
  <c r="AE128" i="4"/>
  <c r="AK128" i="4" s="1"/>
  <c r="AD128" i="4"/>
  <c r="AJ128" i="4" s="1"/>
  <c r="AE135" i="4"/>
  <c r="AK135" i="4" s="1"/>
  <c r="AD135" i="4"/>
  <c r="AJ135" i="4" s="1"/>
  <c r="AE141" i="4"/>
  <c r="AK141" i="4" s="1"/>
  <c r="AD141" i="4"/>
  <c r="AJ141" i="4" s="1"/>
  <c r="AE114" i="4"/>
  <c r="AK114" i="4" s="1"/>
  <c r="AD114" i="4"/>
  <c r="AJ114" i="4" s="1"/>
  <c r="AE152" i="4"/>
  <c r="AK152" i="4" s="1"/>
  <c r="AD152" i="4"/>
  <c r="AJ152" i="4" s="1"/>
  <c r="AE171" i="4"/>
  <c r="AK171" i="4" s="1"/>
  <c r="AD171" i="4"/>
  <c r="AJ171" i="4" s="1"/>
  <c r="AE140" i="4"/>
  <c r="AK140" i="4" s="1"/>
  <c r="AD140" i="4"/>
  <c r="AJ140" i="4" s="1"/>
  <c r="AE158" i="4"/>
  <c r="AK158" i="4" s="1"/>
  <c r="AD158" i="4"/>
  <c r="AJ158" i="4" s="1"/>
  <c r="AE110" i="4"/>
  <c r="AK110" i="4" s="1"/>
  <c r="AD110" i="4"/>
  <c r="AJ110" i="4" s="1"/>
  <c r="AE161" i="4"/>
  <c r="AK161" i="4" s="1"/>
  <c r="AD161" i="4"/>
  <c r="AJ161" i="4" s="1"/>
  <c r="AE124" i="4"/>
  <c r="AK124" i="4" s="1"/>
  <c r="AD124" i="4"/>
  <c r="AJ124" i="4" s="1"/>
  <c r="AE163" i="4"/>
  <c r="AK163" i="4" s="1"/>
  <c r="AD163" i="4"/>
  <c r="AJ163" i="4" s="1"/>
  <c r="AE151" i="4"/>
  <c r="AK151" i="4" s="1"/>
  <c r="AD151" i="4"/>
  <c r="AJ151" i="4" s="1"/>
  <c r="AE146" i="4"/>
  <c r="AK146" i="4" s="1"/>
  <c r="AD146" i="4"/>
  <c r="AJ146" i="4" s="1"/>
  <c r="AE167" i="4"/>
  <c r="AK167" i="4" s="1"/>
  <c r="AD167" i="4"/>
  <c r="AJ167" i="4" s="1"/>
  <c r="AE129" i="4"/>
  <c r="AK129" i="4" s="1"/>
  <c r="AD129" i="4"/>
  <c r="AJ129" i="4" s="1"/>
  <c r="AE142" i="4"/>
  <c r="AK142" i="4" s="1"/>
  <c r="AD142" i="4"/>
  <c r="AJ142" i="4" s="1"/>
  <c r="AE138" i="4"/>
  <c r="AK138" i="4" s="1"/>
  <c r="AD138" i="4"/>
  <c r="AJ138" i="4" s="1"/>
  <c r="AE111" i="4"/>
  <c r="AK111" i="4" s="1"/>
  <c r="AD111" i="4"/>
  <c r="AJ111" i="4" s="1"/>
  <c r="AE115" i="4"/>
  <c r="AK115" i="4" s="1"/>
  <c r="AD115" i="4"/>
  <c r="AJ115" i="4" s="1"/>
  <c r="AE130" i="4"/>
  <c r="AK130" i="4" s="1"/>
  <c r="AD130" i="4"/>
  <c r="AJ130" i="4" s="1"/>
  <c r="AE153" i="4"/>
  <c r="AK153" i="4" s="1"/>
  <c r="AD153" i="4"/>
  <c r="AJ153" i="4" s="1"/>
  <c r="AE108" i="4"/>
  <c r="AK108" i="4" s="1"/>
  <c r="AD108" i="4"/>
  <c r="AJ108" i="4" s="1"/>
  <c r="AE147" i="4"/>
  <c r="AK147" i="4" s="1"/>
  <c r="AD147" i="4"/>
  <c r="AJ147" i="4" s="1"/>
  <c r="AE156" i="4"/>
  <c r="AK156" i="4" s="1"/>
  <c r="AD156" i="4"/>
  <c r="AJ156" i="4" s="1"/>
  <c r="AE170" i="4"/>
  <c r="AK170" i="4" s="1"/>
  <c r="AD170" i="4"/>
  <c r="AJ170" i="4" s="1"/>
  <c r="AE169" i="4"/>
  <c r="AK169" i="4" s="1"/>
  <c r="AD169" i="4"/>
  <c r="AJ169" i="4" s="1"/>
  <c r="AE119" i="4"/>
  <c r="AK119" i="4" s="1"/>
  <c r="AD119" i="4"/>
  <c r="AJ119" i="4" s="1"/>
  <c r="AE174" i="4"/>
  <c r="AK174" i="4" s="1"/>
  <c r="AD174" i="4"/>
  <c r="AJ174" i="4" s="1"/>
  <c r="AE144" i="4"/>
  <c r="AK144" i="4" s="1"/>
  <c r="AD144" i="4"/>
  <c r="AJ144" i="4" s="1"/>
  <c r="AE157" i="4"/>
  <c r="AK157" i="4" s="1"/>
  <c r="AD157" i="4"/>
  <c r="AJ157" i="4" s="1"/>
  <c r="AE120" i="4"/>
  <c r="AK120" i="4" s="1"/>
  <c r="AD120" i="4"/>
  <c r="AJ120" i="4" s="1"/>
  <c r="AE136" i="4"/>
  <c r="AK136" i="4" s="1"/>
  <c r="AD136" i="4"/>
  <c r="AJ136" i="4" s="1"/>
  <c r="AE159" i="4"/>
  <c r="AK159" i="4" s="1"/>
  <c r="AD159" i="4"/>
  <c r="AJ159" i="4" s="1"/>
  <c r="AE132" i="4"/>
  <c r="AK132" i="4" s="1"/>
  <c r="AD132" i="4"/>
  <c r="AJ132" i="4" s="1"/>
  <c r="AE123" i="4"/>
  <c r="AK123" i="4" s="1"/>
  <c r="AD123" i="4"/>
  <c r="AJ123" i="4" s="1"/>
  <c r="AE122" i="4"/>
  <c r="AK122" i="4" s="1"/>
  <c r="AD122" i="4"/>
  <c r="AJ122" i="4" s="1"/>
  <c r="AE127" i="4"/>
  <c r="AK127" i="4" s="1"/>
  <c r="AD127" i="4"/>
  <c r="AJ127" i="4" s="1"/>
  <c r="AE149" i="4"/>
  <c r="AK149" i="4" s="1"/>
  <c r="AD149" i="4"/>
  <c r="AJ149" i="4" s="1"/>
  <c r="AE145" i="4"/>
  <c r="AK145" i="4" s="1"/>
  <c r="AD145" i="4"/>
  <c r="AJ145" i="4" s="1"/>
  <c r="AE168" i="4"/>
  <c r="AK168" i="4" s="1"/>
  <c r="AD168" i="4"/>
  <c r="AJ168" i="4" s="1"/>
  <c r="AE173" i="4"/>
  <c r="AK173" i="4" s="1"/>
  <c r="AD173" i="4"/>
  <c r="AJ173" i="4" s="1"/>
  <c r="AE150" i="4"/>
  <c r="AK150" i="4" s="1"/>
  <c r="AD150" i="4"/>
  <c r="AJ150" i="4" s="1"/>
  <c r="AE164" i="4"/>
  <c r="AK164" i="4" s="1"/>
  <c r="AD164" i="4"/>
  <c r="AJ164" i="4" s="1"/>
  <c r="AE165" i="4"/>
  <c r="AK165" i="4" s="1"/>
  <c r="AD165" i="4"/>
  <c r="AJ165" i="4" s="1"/>
  <c r="AE118" i="4"/>
  <c r="AK118" i="4" s="1"/>
  <c r="AD118" i="4"/>
  <c r="AJ118" i="4" s="1"/>
  <c r="AE172" i="4"/>
  <c r="AK172" i="4" s="1"/>
  <c r="AD172" i="4"/>
  <c r="AJ172" i="4" s="1"/>
  <c r="AE112" i="4"/>
  <c r="AK112" i="4" s="1"/>
  <c r="AD112" i="4"/>
  <c r="AJ112" i="4" s="1"/>
  <c r="AE125" i="4"/>
  <c r="AK125" i="4" s="1"/>
  <c r="AD125" i="4"/>
  <c r="AJ125" i="4" s="1"/>
  <c r="AE107" i="4"/>
  <c r="AK107" i="4" s="1"/>
  <c r="AD107" i="4"/>
  <c r="AJ107" i="4" s="1"/>
  <c r="AE133" i="4"/>
  <c r="AK133" i="4" s="1"/>
  <c r="AD133" i="4"/>
  <c r="AJ133" i="4" s="1"/>
  <c r="AE106" i="4"/>
  <c r="AK106" i="4" s="1"/>
  <c r="AD106" i="4"/>
  <c r="AJ106" i="4" s="1"/>
  <c r="AE116" i="4"/>
  <c r="AK116" i="4" s="1"/>
  <c r="AD116" i="4"/>
  <c r="AJ116" i="4" s="1"/>
  <c r="AE154" i="4"/>
  <c r="AK154" i="4" s="1"/>
  <c r="AD154" i="4"/>
  <c r="AJ154" i="4" s="1"/>
  <c r="AE148" i="4"/>
  <c r="AK148" i="4" s="1"/>
  <c r="AD148" i="4"/>
  <c r="AJ148" i="4" s="1"/>
  <c r="AE126" i="4"/>
  <c r="AK126" i="4" s="1"/>
  <c r="AD126" i="4"/>
  <c r="AJ126" i="4" s="1"/>
  <c r="AE162" i="4"/>
  <c r="AK162" i="4" s="1"/>
  <c r="AD162" i="4"/>
  <c r="AJ162" i="4" s="1"/>
  <c r="AE134" i="4"/>
  <c r="AK134" i="4" s="1"/>
  <c r="AD134" i="4"/>
  <c r="AJ134" i="4" s="1"/>
  <c r="AE139" i="4"/>
  <c r="AK139" i="4" s="1"/>
  <c r="AD139" i="4"/>
  <c r="AJ139" i="4" s="1"/>
  <c r="AE24" i="5"/>
  <c r="AK24" i="5" s="1"/>
  <c r="AD24" i="5"/>
  <c r="AJ24" i="5" s="1"/>
  <c r="E13" i="1"/>
  <c r="P6" i="1" s="1"/>
  <c r="D3" i="1"/>
  <c r="AE28" i="5"/>
  <c r="AK28" i="5" s="1"/>
  <c r="AD28" i="5"/>
  <c r="AJ28" i="5" s="1"/>
  <c r="AE34" i="5"/>
  <c r="AK34" i="5" s="1"/>
  <c r="AD34" i="5"/>
  <c r="AJ34" i="5" s="1"/>
  <c r="AE27" i="5"/>
  <c r="AK27" i="5" s="1"/>
  <c r="AD27" i="5"/>
  <c r="AJ27" i="5" s="1"/>
  <c r="AE31" i="5"/>
  <c r="AK31" i="5" s="1"/>
  <c r="AD31" i="5"/>
  <c r="AJ31" i="5" s="1"/>
  <c r="AE32" i="5"/>
  <c r="AK32" i="5" s="1"/>
  <c r="AD32" i="5"/>
  <c r="AJ32" i="5" s="1"/>
  <c r="AE29" i="5"/>
  <c r="AK29" i="5" s="1"/>
  <c r="AD29" i="5"/>
  <c r="AJ29" i="5" s="1"/>
  <c r="AE179" i="4"/>
  <c r="AK179" i="4" s="1"/>
  <c r="AD179" i="4"/>
  <c r="AJ179" i="4" s="1"/>
  <c r="AE176" i="4"/>
  <c r="AK176" i="4" s="1"/>
  <c r="AD176" i="4"/>
  <c r="AJ176" i="4" s="1"/>
  <c r="AE178" i="4"/>
  <c r="AK178" i="4" s="1"/>
  <c r="AD178" i="4"/>
  <c r="AJ178" i="4" s="1"/>
  <c r="AE177" i="4"/>
  <c r="AK177" i="4" s="1"/>
  <c r="AD177" i="4"/>
  <c r="AJ177" i="4" s="1"/>
  <c r="AE30" i="5"/>
  <c r="AK30" i="5" s="1"/>
  <c r="AD30" i="5"/>
  <c r="AJ30" i="5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AK46" i="5"/>
  <c r="B2" i="5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sharedStrings.xml><?xml version="1.0" encoding="utf-8"?>
<sst xmlns="http://schemas.openxmlformats.org/spreadsheetml/2006/main" count="152" uniqueCount="94">
  <si>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</si>
  <si>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</si>
  <si>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</si>
  <si>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</si>
  <si>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</si>
  <si>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</si>
  <si>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</si>
  <si>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</si>
  <si>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</si>
  <si>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</si>
  <si>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Joueur Scratché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</si>
  <si>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</si>
  <si>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</si>
  <si>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</si>
  <si>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</si>
  <si>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</si>
  <si>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</si>
  <si>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</si>
  <si>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</si>
  <si>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</si>
  <si>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</si>
  <si>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</si>
  <si>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</si>
  <si>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</si>
  <si>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</si>
  <si>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</si>
  <si>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</si>
  <si>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</si>
  <si>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</si>
  <si>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</si>
  <si>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</si>
  <si>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</si>
  <si>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</si>
  <si>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</si>
  <si>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</si>
  <si>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</si>
  <si>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</si>
  <si>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</si>
  <si>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</si>
  <si>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</si>
  <si>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</si>
  <si>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</si>
  <si>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</si>
  <si>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</si>
  <si>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</si>
  <si>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</si>
  <si>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</si>
  <si>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</si>
  <si>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</si>
  <si>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</si>
  <si>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</si>
  <si>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</si>
  <si>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</si>
  <si>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</si>
  <si>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</si>
  <si>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</si>
  <si>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</si>
  <si>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</si>
  <si>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</si>
  <si>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</si>
  <si>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</si>
  <si>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</si>
  <si>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</si>
  <si>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</si>
  <si>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</si>
  <si>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</si>
  <si>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</si>
  <si>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</si>
  <si>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</si>
  <si>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</si>
  <si>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</si>
  <si>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</si>
  <si>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</si>
  <si>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</si>
  <si>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</si>
  <si>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</si>
  <si>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</si>
  <si>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</si>
  <si>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</si>
  <si>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</si>
  <si>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</si>
  <si>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</si>
  <si>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</si>
  <si>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Fichiers Homme</t>
  </si>
  <si>
    <t>Fichiers Dame</t>
  </si>
  <si>
    <t>Best Tours</t>
  </si>
  <si>
    <t>export_HOMME_Brut_1.xlsx</t>
  </si>
  <si>
    <t>export_DAME_Brut_12.xlsx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</si>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</sst>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12" fillId="0" borderId="60" xfId="0" applyFont="1" applyBorder="1"/>
    <xf numFmtId="0" fontId="12" fillId="0" borderId="61" xfId="0" applyFont="1" applyBorder="1"/>
    <xf numFmtId="0" fontId="13" fillId="0" borderId="61" xfId="0" applyFont="1" applyBorder="1"/>
    <xf numFmtId="0" fontId="14" fillId="0" borderId="61" xfId="0" applyFont="1" applyBorder="1"/>
    <xf numFmtId="0" fontId="14" fillId="0" borderId="62" xfId="0" applyFont="1" applyBorder="1"/>
    <xf numFmtId="0" fontId="12" fillId="0" borderId="62" xfId="0" applyFont="1" applyBorder="1"/>
    <xf numFmtId="0" fontId="13" fillId="0" borderId="62" xfId="0" applyFont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22" fontId="0" fillId="0" borderId="0" xfId="0" applyNumberFormat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left" vertical="center"/>
    </xf>
    <xf numFmtId="0" fontId="0" fillId="23" borderId="55" xfId="0" applyFill="1" applyBorder="1" applyAlignment="1">
      <alignment horizontal="left" vertical="center"/>
    </xf>
    <xf numFmtId="0" fontId="0" fillId="23" borderId="56" xfId="0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948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12</xdr:col>
      <xdr:colOff>30671</xdr:colOff>
      <xdr:row>5</xdr:row>
      <xdr:rowOff>162806</xdr:rowOff>
    </xdr:from>
    <xdr:to>
      <xdr:col>14</xdr:col>
      <xdr:colOff>192180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748847" y="1238571"/>
          <a:ext cx="4599039" cy="1213005"/>
          <a:chOff x="8439149" y="1257300"/>
          <a:chExt cx="4581525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13"/>
            <a:ext cx="4533902" cy="1200138"/>
            <a:chOff x="7698065" y="870461"/>
            <a:chExt cx="3897982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5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2" cy="342898"/>
              <a:chOff x="7724775" y="1535062"/>
              <a:chExt cx="3871272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06" cy="333376"/>
                <a:chOff x="7724775" y="1544583"/>
                <a:chExt cx="1790706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06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8" y="1535062"/>
                <a:ext cx="1596259" cy="342898"/>
                <a:chOff x="9999788" y="1535062"/>
                <a:chExt cx="1596259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8" y="1535062"/>
                      <a:ext cx="1596259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315260" y="1075765"/>
          <a:ext cx="4545105" cy="150719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9</xdr:row>
          <xdr:rowOff>38100</xdr:rowOff>
        </xdr:from>
        <xdr:to>
          <xdr:col>9</xdr:col>
          <xdr:colOff>123825</xdr:colOff>
          <xdr:row>9</xdr:row>
          <xdr:rowOff>352425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352425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947" tableBorderDxfId="946">
  <tableColumns count="4">
    <tableColumn id="1" xr3:uid="{86185E31-EC52-4ECC-BC3E-33C26B14F7C2}" name="Series" dataDxfId="945">
      <calculatedColumnFormula>_xlfn.CONCAT($V$7," ",V8)</calculatedColumnFormula>
    </tableColumn>
    <tableColumn id="2" xr3:uid="{788D8AF7-A2FF-4152-9FEC-3D734C94A926}" name="Serie" dataDxfId="944"/>
    <tableColumn id="3" xr3:uid="{98F42830-BCA0-414B-9FEF-78FCD5DB348B}" name="indexMin" dataDxfId="943"/>
    <tableColumn id="4" xr3:uid="{E4B94243-8BBE-45E2-AAC0-0D18C5A6695E}" name="indexMax" dataDxfId="94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941" dataDxfId="939" headerRowBorderDxfId="940" tableBorderDxfId="938">
  <tableColumns count="1">
    <tableColumn id="1" xr3:uid="{8473C081-0E42-4FA9-8C99-E5B7E8CD3209}" name="Tours" dataDxfId="93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936" headerRowBorderDxfId="935" tableBorderDxfId="934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933" dataDxfId="932" tableBorderDxfId="931">
  <autoFilter ref="D12:F13" xr:uid="{FCA0E9AA-8BD9-46EB-B07B-67F06EACCB48}"/>
  <tableColumns count="3">
    <tableColumn id="1" xr3:uid="{47561816-2B53-47F6-822E-269C476F3FFD}" name="Tour importé" dataDxfId="930"/>
    <tableColumn id="2" xr3:uid="{E2C3F515-D8A3-4FC2-B632-32DB6D91A198}" name="Type" dataDxfId="929">
      <calculatedColumnFormula>INDEX(TableauType[TYPE],Tableau6[[#This Row],[TypeIndex]])</calculatedColumnFormula>
    </tableColumn>
    <tableColumn id="3" xr3:uid="{617E6B65-5E58-4C9B-9DC4-488608A74753}" name="TypeIndex" dataDxfId="928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927" dataDxfId="926">
  <autoFilter ref="AD7:AD15" xr:uid="{9029752C-EFC9-4C60-BDF1-B009EF2F440D}"/>
  <tableColumns count="1">
    <tableColumn id="1" xr3:uid="{47EFDC89-116E-4E91-94A2-C4CDC0579100}" name="Fichiers" dataDxfId="9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924" headerRowBorderDxfId="923" tableBorderDxfId="922" totalsRowBorderDxfId="921">
  <autoFilter ref="U18:V22" xr:uid="{BBFFD128-4797-4BD5-B581-AA8D8277F8F3}"/>
  <tableColumns count="2">
    <tableColumn id="1" xr3:uid="{903026A3-43DC-4900-8F6E-2271BCA97B81}" name="Fichiers Homme" dataDxfId="920"/>
    <tableColumn id="2" xr3:uid="{C9FC1671-8A12-4C52-9797-E5DB3A7B67E7}" name="Fichiers Dame" dataDxfId="919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918" tableBorderDxfId="917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916"/>
    <tableColumn id="2" xr3:uid="{ECBEFB46-CF2E-4172-8E5C-37DBEC25E1AE}" name="Club" dataDxfId="915"/>
    <tableColumn id="3" xr3:uid="{FBA83F7F-D4E7-4A15-99EC-CE8D436D7EB3}" name="Index" dataDxfId="914"/>
    <tableColumn id="4" xr3:uid="{0090B21E-C7ED-4CC4-A4C8-7AED1146F2F9}" name="Série" dataDxfId="913"/>
    <tableColumn id="5" xr3:uid="{7D4E8E6A-E590-441A-A2B5-664E220061CC}" name="Score     Net1" dataDxfId="912"/>
    <tableColumn id="6" xr3:uid="{84241967-A195-4D05-9846-F0E084774539}" name="Rang   Net1" dataDxfId="911"/>
    <tableColumn id="7" xr3:uid="{F27CD3EA-D421-4623-93DF-5DFCAA423771}" name="Score    Brut1" dataDxfId="910"/>
    <tableColumn id="8" xr3:uid="{62D1F21B-032A-484B-BC39-395CC4756A54}" name="Rang   Brut1" dataDxfId="909"/>
    <tableColumn id="9" xr3:uid="{D3289CF1-FAC6-4CC0-B2B6-80CBB0406845}" name="Score      Net2" dataDxfId="908"/>
    <tableColumn id="10" xr3:uid="{2F18A068-FD19-4313-83C9-0AB3AA88EE3F}" name="Rang      Net2" dataDxfId="907"/>
    <tableColumn id="11" xr3:uid="{A7248FAA-403B-4BFE-B0D4-859E30DE4A95}" name="Score      Brut2" dataDxfId="906"/>
    <tableColumn id="12" xr3:uid="{4F6F4506-16A0-4352-A12B-8992CD80B9B6}" name="Rang      Brut2" dataDxfId="905"/>
    <tableColumn id="13" xr3:uid="{68CAD2A6-712A-4B66-A7A3-D58BF5303438}" name="Score      Net3" dataDxfId="904"/>
    <tableColumn id="14" xr3:uid="{9F172573-6C25-46FC-BE9F-F56834E813D9}" name="Rang      Net3" dataDxfId="903"/>
    <tableColumn id="15" xr3:uid="{618A094F-BB99-4883-A19C-4EBA6E699BCF}" name="Score      Brut3" dataDxfId="902"/>
    <tableColumn id="16" xr3:uid="{0E544C66-61C9-46D5-A427-A9677AE96910}" name="Rang      Brut3" dataDxfId="901"/>
    <tableColumn id="17" xr3:uid="{24730B87-D2CD-487D-99BD-EACD109C443F}" name="Score        Net4" dataDxfId="900"/>
    <tableColumn id="18" xr3:uid="{F0B85087-E217-4534-9BC7-B04BDDCCA8B9}" name="Rang        Net4" dataDxfId="899"/>
    <tableColumn id="19" xr3:uid="{7DDCD1A6-A182-48A1-9F3F-836B917D0B07}" name="Score        Brut4" dataDxfId="898"/>
    <tableColumn id="20" xr3:uid="{8EABA2E9-9ADA-4192-8BB2-2F58072A8E01}" name="Rang        Brut4" dataDxfId="897"/>
    <tableColumn id="21" xr3:uid="{79E31DB6-4982-4160-9B1D-20DE3F5E1BB8}" name="Score        Net5" dataDxfId="896"/>
    <tableColumn id="22" xr3:uid="{DB589AF3-34B3-447A-A354-D474E90FDB4F}" name="Rang        Net5" dataDxfId="895"/>
    <tableColumn id="23" xr3:uid="{EC9FE005-CE9F-448B-81FE-28EDD1A971F9}" name="Score        Brut5" dataDxfId="894"/>
    <tableColumn id="24" xr3:uid="{220294A2-C79D-45F3-9AE5-D46451BBF584}" name="Rang        Brut5" dataDxfId="893"/>
    <tableColumn id="25" xr3:uid="{A772CA9D-C689-4C9F-9855-E6A692839D23}" name="Score        Net6" dataDxfId="892"/>
    <tableColumn id="26" xr3:uid="{D2589416-857A-4C41-AC6D-96D41817DEC7}" name="Rang        Net6" dataDxfId="891"/>
    <tableColumn id="27" xr3:uid="{27ADC7D0-24DE-4505-9913-856D8DE338A9}" name="Score        Brut6" dataDxfId="890"/>
    <tableColumn id="28" xr3:uid="{ABDBDCB4-7B27-49F8-BC7A-7843BC9FF7A5}" name="Rang        Brut6" dataDxfId="889"/>
    <tableColumn id="29" xr3:uid="{941D9336-449B-439E-B469-314E549EA186}" name="Score Net Max" dataDxfId="888">
      <calculatedColumnFormula>IF(MIN(F4,J4,N4,R4,V4,Z4)&lt;&gt;0,MIN(F4,J4,N4,R4,V4,Z4),"")</calculatedColumnFormula>
    </tableColumn>
    <tableColumn id="30" xr3:uid="{90574FCA-077D-4C2D-95A6-25042040131A}" name="Score Brut Max" dataDxfId="887">
      <calculatedColumnFormula>IF(MIN(H4,L4,P4,T4,X4,AB4)&lt;&gt;0,MIN(H4,L4,P4,T4,X4,AB4),"")</calculatedColumnFormula>
    </tableColumn>
    <tableColumn id="31" xr3:uid="{7D46739F-AA9F-4F4C-8559-42672BDC3359}" name="Score Net Finale" dataDxfId="886"/>
    <tableColumn id="32" xr3:uid="{11EAF1CA-8CD4-40A4-91A3-87D38FCF3433}" name="Rang Net Finale" dataDxfId="885"/>
    <tableColumn id="33" xr3:uid="{66A96B4D-B263-479C-A036-CA0A68FB1450}" name="Score Brut Finale" dataDxfId="884"/>
    <tableColumn id="34" xr3:uid="{AB46E898-F45B-460F-A38E-C5A2BFD53000}" name="Rang Brut Finale" dataDxfId="883"/>
    <tableColumn id="35" xr3:uid="{E7B91838-CDE0-4965-B3BE-53C906009CF4}" name="Score Net LGS" dataDxfId="882">
      <calculatedColumnFormula>IF(AD4="","",IF(ISBLANK(AF4),"En cours",AD4+AF4))</calculatedColumnFormula>
    </tableColumn>
    <tableColumn id="36" xr3:uid="{2A90CEF2-3F60-4761-BD52-022404B7522C}" name="Score Brut LGS" dataDxfId="881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880" tableBorderDxfId="879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878"/>
    <tableColumn id="2" xr3:uid="{6DF6013E-11A9-4F6E-B527-4EB5242D32FC}" name="Club" dataDxfId="877"/>
    <tableColumn id="3" xr3:uid="{809481FC-1207-4212-8E64-39319F31B86C}" name="Index" dataDxfId="876"/>
    <tableColumn id="4" xr3:uid="{61BCE2E5-DC5C-48C2-BA39-6573DBA32351}" name="Série" dataDxfId="875"/>
    <tableColumn id="5" xr3:uid="{5210E73B-D34C-4FAE-A187-64170B309A2C}" name="Score     Net1" dataDxfId="874"/>
    <tableColumn id="6" xr3:uid="{0C146610-8133-4769-A4EC-4AF4A9EB4EEA}" name="Rang   Net1" dataDxfId="873"/>
    <tableColumn id="7" xr3:uid="{DC3B3441-4412-46B5-8015-7E44D9FF0A16}" name="Score    Brut1" dataDxfId="872"/>
    <tableColumn id="8" xr3:uid="{780A2D1B-C1E0-4E66-A641-80609193E5ED}" name="Rang   Brut1" dataDxfId="871"/>
    <tableColumn id="9" xr3:uid="{A286DE62-5493-4750-8D3A-4E0268951135}" name="Score      Net2" dataDxfId="870"/>
    <tableColumn id="10" xr3:uid="{9AA9E923-19AE-4E9C-B03E-6CCB420B0DE0}" name="Rang      Net2" dataDxfId="869"/>
    <tableColumn id="11" xr3:uid="{13D9FCED-A177-4823-BBF5-CB6BBFD92170}" name="Score      Brut2" dataDxfId="868"/>
    <tableColumn id="12" xr3:uid="{AE79BCC0-99C9-4A29-85F9-06518743CC41}" name="Rang      Brut2" dataDxfId="867"/>
    <tableColumn id="13" xr3:uid="{6260EBE1-C4F8-4892-8111-6848B59FFDDC}" name="Score      Net3" dataDxfId="866"/>
    <tableColumn id="14" xr3:uid="{70D3C91B-53A9-4C67-AA7C-86DB6FCC84EA}" name="Rang      Net3" dataDxfId="865"/>
    <tableColumn id="15" xr3:uid="{316ABADB-80DF-4341-9456-B07A916EE828}" name="Score      Brut3" dataDxfId="864"/>
    <tableColumn id="16" xr3:uid="{5F33B9A2-6C2B-44A9-B727-D955FDD7A57E}" name="Rang      Brut3" dataDxfId="863"/>
    <tableColumn id="17" xr3:uid="{7405128E-0D40-44C5-B3B7-9098CE3F571B}" name="Score        Net4" dataDxfId="862"/>
    <tableColumn id="18" xr3:uid="{57B1622B-69C7-4A1C-8967-6906A0E60401}" name="Rang        Net4" dataDxfId="861"/>
    <tableColumn id="19" xr3:uid="{765D8E18-32EC-4D78-B6D5-C889630A0B4D}" name="Score        Brut4" dataDxfId="860"/>
    <tableColumn id="20" xr3:uid="{F9E9BC2E-A9E0-415E-92F8-F007D70D402D}" name="Rang        Brut4" dataDxfId="859"/>
    <tableColumn id="21" xr3:uid="{56B8C53B-2683-43AB-BA94-98D12846892B}" name="Score        Net5" dataDxfId="858"/>
    <tableColumn id="22" xr3:uid="{CEE64EB1-2B37-4BE8-AD6C-F73635777200}" name="Rang        Net5" dataDxfId="857"/>
    <tableColumn id="23" xr3:uid="{08967303-5AA9-43EB-A7B1-57000258446B}" name="Score        Brut5" dataDxfId="856"/>
    <tableColumn id="24" xr3:uid="{8200C06D-A6A7-4584-BCE4-DE94947CAA08}" name="Rang        Brut5" dataDxfId="855"/>
    <tableColumn id="25" xr3:uid="{E363B218-F04E-4259-A65F-BE04FA1C15B3}" name="Score        Net6" dataDxfId="854"/>
    <tableColumn id="26" xr3:uid="{EC92842C-B321-4087-AA25-F376E0579048}" name="Rang        Net6" dataDxfId="853"/>
    <tableColumn id="27" xr3:uid="{3EF61377-66C7-4D60-AF65-BAFD2DD291D8}" name="Score        Brut6" dataDxfId="852"/>
    <tableColumn id="28" xr3:uid="{251BB10E-2B2F-4B4A-8805-D7C49FF7D091}" name="Rang        Brut6" dataDxfId="851"/>
    <tableColumn id="29" xr3:uid="{937492D8-E20B-486F-B289-5EBB929EA97E}" name="Score Net Max" dataDxfId="850">
      <calculatedColumnFormula>IF(MIN(F4,J4,N4,R4,V4,Z4)&lt;&gt;0,MIN(F4,J4,N4,R4,V4,Z4),"")</calculatedColumnFormula>
    </tableColumn>
    <tableColumn id="30" xr3:uid="{BFCE7449-4F11-49CA-B00B-6CF4C21DE23E}" name="Score Brut Max" dataDxfId="849">
      <calculatedColumnFormula>IF(MIN(H4,L4,P4,T4,X4,AB4)&lt;&gt;0,MIN(H4,L4,P4,T4,X4,AB4),"")</calculatedColumnFormula>
    </tableColumn>
    <tableColumn id="31" xr3:uid="{061F8C59-D91F-49DB-89E4-FD5BF5DEA2BE}" name="Score Net Finale" dataDxfId="848"/>
    <tableColumn id="32" xr3:uid="{47CCF636-B700-4893-BB69-C5F49188A737}" name="Rang Net Finale" dataDxfId="847"/>
    <tableColumn id="33" xr3:uid="{34BE4EC2-EAC1-40DC-82EA-B21BFA645C43}" name="Score Brut Finale" dataDxfId="846"/>
    <tableColumn id="34" xr3:uid="{B4CC10FB-AE7D-4F7B-B5E6-A21DFBD43F7A}" name="Rang Brut Finale" dataDxfId="845"/>
    <tableColumn id="35" xr3:uid="{2A85E5CE-D8F3-4ABA-BB20-EF4EC4E5400C}" name="Score Net LGS" dataDxfId="844">
      <calculatedColumnFormula>IF(AD4="","",IF(ISBLANK(AF4),"En cours",AD4+AF4))</calculatedColumnFormula>
    </tableColumn>
    <tableColumn id="36" xr3:uid="{E2505702-E088-4E30-97F4-10F7B06362C7}" name="Score Brut LGS" dataDxfId="843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842" dataDxfId="841">
  <autoFilter ref="B4:F5" xr:uid="{BEE036B7-08A7-43AF-AC9F-62B639BE2327}"/>
  <tableColumns count="5">
    <tableColumn id="1" xr3:uid="{07F0EE21-57C5-4450-A337-C4E93B37093B}" name="type" dataDxfId="840"/>
    <tableColumn id="4" xr3:uid="{5D76DE16-D7AC-47BB-8E5C-7D62535B0C45}" name="joueurs" dataDxfId="839"/>
    <tableColumn id="6" xr3:uid="{AAEF716B-5939-451B-9370-6D6F4B67A6B4}" name="feuille" dataDxfId="838"/>
    <tableColumn id="2" xr3:uid="{15443A43-A7C3-4E12-8B5A-8DC832EBEFF5}" name="reference" dataDxfId="837"/>
    <tableColumn id="3" xr3:uid="{C5F94F07-C4F6-41F7-9201-803FDABD5D1F}" name="date" dataDxfId="83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6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20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32.7109375" customWidth="1"/>
    <col min="5" max="5" width="33.7109375" customWidth="1"/>
    <col min="6" max="6" width="8.7109375" style="4" customWidth="1"/>
    <col min="7" max="9" width="8.7109375" customWidth="1"/>
    <col min="10" max="10" width="3.85546875" customWidth="1"/>
    <col min="11" max="12" width="5.7109375" customWidth="1"/>
    <col min="13" max="13" width="32.7109375" customWidth="1"/>
    <col min="14" max="14" width="33.7109375" customWidth="1"/>
    <col min="15" max="15" width="11.28515625" style="4" customWidth="1"/>
    <col min="16" max="16" width="11.28515625" customWidth="1"/>
    <col min="17" max="18" width="8.7109375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/>
    <row r="2" spans="1:31" x14ac:dyDescent="0.25">
      <c r="B2" s="68" t="s">
        <v>35</v>
      </c>
      <c r="C2" s="57"/>
      <c r="D2" s="58" t="s">
        <v>36</v>
      </c>
      <c r="E2" s="62" t="s">
        <v>3</v>
      </c>
      <c r="F2" s="58"/>
      <c r="G2" s="57"/>
      <c r="H2" s="57"/>
      <c r="I2" s="57"/>
      <c r="J2" s="57"/>
      <c r="K2" s="69" t="s">
        <v>34</v>
      </c>
      <c r="L2" s="57"/>
      <c r="M2" s="57" t="s">
        <v>37</v>
      </c>
      <c r="N2" s="65" t="s">
        <v>32</v>
      </c>
      <c r="O2" s="64" t="s">
        <v>33</v>
      </c>
    </row>
    <row r="3" spans="1:31" ht="15.75" thickBot="1" x14ac:dyDescent="0.3">
      <c r="B3" s="59">
        <f>COUNTA(B17:B7704)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0</v>
      </c>
      <c r="L3" s="60"/>
      <c r="M3" s="60" t="str">
        <f>_xlfn.CONCAT("Resultat LGS (",Tableau6[Type],")")</f>
        <v>Resultat LGS (DAME)</v>
      </c>
      <c r="N3" s="66"/>
      <c r="O3" s="67">
        <v>45147</v>
      </c>
    </row>
    <row r="4" spans="1:31" ht="15.75" thickBot="1" x14ac:dyDescent="0.3"/>
    <row r="5" spans="1:31" ht="21.75" thickBot="1" x14ac:dyDescent="0.3">
      <c r="C5" s="46" t="s">
        <v>29</v>
      </c>
      <c r="D5" s="47"/>
      <c r="E5" s="70" t="s">
        <v>28</v>
      </c>
      <c r="F5" s="71"/>
      <c r="G5" s="72"/>
      <c r="H5" s="72"/>
      <c r="I5" s="72"/>
      <c r="J5" s="73"/>
      <c r="L5" s="31"/>
      <c r="M5" s="43" t="s">
        <v>27</v>
      </c>
      <c r="N5" s="32"/>
      <c r="P5" s="151" t="s">
        <v>82</v>
      </c>
      <c r="Q5" s="152"/>
      <c r="R5" s="153"/>
      <c r="T5" s="20"/>
      <c r="U5" s="42" t="s">
        <v>12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54" t="str">
        <f>IF(Tableau6[Type]=INDEX(TableauType[],1),U19,V19)</f>
        <v>export_DAME_Brut_12.xlsx</v>
      </c>
      <c r="Q6" s="155"/>
      <c r="R6" s="156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57" t="str">
        <f>IF(Tableau6[Type]=INDEX(TableauType[],1),U20,V20)</f>
        <v>export_DAME_Net_12.xlsx</v>
      </c>
      <c r="Q7" s="158"/>
      <c r="R7" s="159"/>
      <c r="T7" s="23"/>
      <c r="U7" s="12" t="s">
        <v>13</v>
      </c>
      <c r="V7" s="116" t="s">
        <v>14</v>
      </c>
      <c r="W7" s="9" t="s">
        <v>15</v>
      </c>
      <c r="X7" s="13" t="s">
        <v>16</v>
      </c>
      <c r="Y7" s="25"/>
      <c r="Z7" s="18" t="s">
        <v>17</v>
      </c>
      <c r="AA7" s="25"/>
      <c r="AB7" s="106" t="s">
        <v>76</v>
      </c>
      <c r="AC7" s="25"/>
      <c r="AD7" s="115" t="s">
        <v>81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60" t="str">
        <f>IF(Tableau6[Type]=INDEX(TableauType[],1),U21,V21)</f>
        <v>export_DAME_Brut_34.xlsx</v>
      </c>
      <c r="Q8" s="161"/>
      <c r="R8" s="162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74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63" t="str">
        <f>IF(Tableau6[Type]=INDEX(TableauType[],1),U22,V22)</f>
        <v>export_DAME_Net_34.xlsx</v>
      </c>
      <c r="Q9" s="164"/>
      <c r="R9" s="165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75</v>
      </c>
      <c r="AC9" s="25"/>
      <c r="AD9" s="17"/>
      <c r="AE9" s="28"/>
    </row>
    <row r="10" spans="1:31" ht="41.25" customHeight="1" thickBot="1" x14ac:dyDescent="0.3">
      <c r="C10" s="45" t="s">
        <v>30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31</v>
      </c>
      <c r="E12" s="109" t="s">
        <v>77</v>
      </c>
      <c r="F12" s="110" t="s">
        <v>78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DAME</v>
      </c>
      <c r="F13" s="113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18</v>
      </c>
      <c r="AA14" s="25"/>
      <c r="AB14" s="25"/>
      <c r="AC14" s="25"/>
      <c r="AD14" s="114"/>
      <c r="AE14" s="28"/>
    </row>
    <row r="15" spans="1:31" ht="26.25" x14ac:dyDescent="0.25">
      <c r="B15" s="149" t="s">
        <v>1</v>
      </c>
      <c r="C15" s="149"/>
      <c r="D15" s="149"/>
      <c r="E15" s="149"/>
      <c r="F15" s="149"/>
      <c r="G15" s="149"/>
      <c r="H15" s="149"/>
      <c r="I15" s="149"/>
      <c r="K15" s="150" t="s">
        <v>2</v>
      </c>
      <c r="L15" s="150"/>
      <c r="M15" s="150"/>
      <c r="N15" s="150"/>
      <c r="O15" s="150"/>
      <c r="P15" s="150"/>
      <c r="Q15" s="150"/>
      <c r="R15" s="150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10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11</v>
      </c>
      <c r="R16" s="3" t="s">
        <v>10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83</v>
      </c>
      <c r="V18" s="123" t="s">
        <v>84</v>
      </c>
      <c r="W18" s="25"/>
      <c r="X18" s="25"/>
      <c r="Y18" s="25"/>
      <c r="Z18" s="25"/>
      <c r="AA18" s="25"/>
      <c r="AB18" s="25"/>
      <c r="AC18" s="25"/>
      <c r="AD18" s="25"/>
      <c r="AE18" s="28"/>
    </row>
    <row r="19" spans="6:31" x14ac:dyDescent="0.25">
      <c r="F19"/>
      <c r="O19"/>
      <c r="T19" s="23"/>
      <c r="U19" s="5" t="s">
        <v>86</v>
      </c>
      <c r="V19" s="124" t="s">
        <v>87</v>
      </c>
      <c r="W19" s="25"/>
      <c r="X19" s="25"/>
      <c r="Y19" s="25"/>
      <c r="Z19" s="25"/>
      <c r="AA19" s="25"/>
      <c r="AB19" s="25"/>
      <c r="AC19" s="25"/>
      <c r="AD19" s="25"/>
      <c r="AE19" s="28"/>
    </row>
    <row r="20" spans="6:31" x14ac:dyDescent="0.25">
      <c r="F20"/>
      <c r="O20"/>
      <c r="T20" s="23"/>
      <c r="U20" s="7" t="s">
        <v>88</v>
      </c>
      <c r="V20" s="125" t="s">
        <v>89</v>
      </c>
      <c r="W20" s="25"/>
      <c r="X20" s="25"/>
      <c r="Y20" s="25"/>
      <c r="Z20" s="25"/>
      <c r="AA20" s="25"/>
      <c r="AB20" s="25"/>
      <c r="AC20" s="25"/>
      <c r="AD20" s="25"/>
      <c r="AE20" s="28"/>
    </row>
    <row r="21" spans="6:31" x14ac:dyDescent="0.25">
      <c r="F21"/>
      <c r="O21"/>
      <c r="T21" s="23"/>
      <c r="U21" s="7" t="s">
        <v>90</v>
      </c>
      <c r="V21" s="125" t="s">
        <v>91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92</v>
      </c>
      <c r="V22" s="127" t="s">
        <v>93</v>
      </c>
      <c r="W22" s="25"/>
      <c r="X22" s="25"/>
      <c r="Y22" s="25"/>
      <c r="Z22" s="25"/>
      <c r="AA22" s="25"/>
      <c r="AB22" s="25"/>
      <c r="AC22" s="25"/>
      <c r="AD22" s="25"/>
      <c r="AE22" s="28"/>
    </row>
    <row r="23" spans="6:31" x14ac:dyDescent="0.25">
      <c r="F23"/>
      <c r="O23"/>
      <c r="T23" s="23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x14ac:dyDescent="0.25">
      <c r="F27"/>
      <c r="O27"/>
    </row>
    <row r="28" spans="6:31" x14ac:dyDescent="0.25">
      <c r="F28"/>
      <c r="O28"/>
    </row>
    <row r="29" spans="6:31" x14ac:dyDescent="0.25">
      <c r="F29"/>
      <c r="O29"/>
    </row>
    <row r="30" spans="6:31" x14ac:dyDescent="0.25">
      <c r="F30"/>
      <c r="O30"/>
    </row>
    <row r="31" spans="6:31" x14ac:dyDescent="0.25">
      <c r="F31"/>
      <c r="O31"/>
    </row>
    <row r="32" spans="6:31" x14ac:dyDescent="0.25">
      <c r="F32"/>
      <c r="O32"/>
    </row>
    <row r="33" spans="6:15" x14ac:dyDescent="0.25">
      <c r="F33"/>
      <c r="O33"/>
    </row>
    <row r="34" spans="6:15" x14ac:dyDescent="0.25">
      <c r="F34"/>
      <c r="O34"/>
    </row>
    <row r="35" spans="6:15" x14ac:dyDescent="0.25">
      <c r="F35"/>
      <c r="O35"/>
    </row>
    <row r="36" spans="6:15" x14ac:dyDescent="0.25">
      <c r="F36"/>
      <c r="O36"/>
    </row>
    <row r="37" spans="6:15" x14ac:dyDescent="0.25">
      <c r="F37"/>
      <c r="O37"/>
    </row>
    <row r="38" spans="6:15" x14ac:dyDescent="0.25">
      <c r="F38"/>
      <c r="O38"/>
    </row>
    <row r="39" spans="6:15" x14ac:dyDescent="0.25">
      <c r="F39"/>
      <c r="O39"/>
    </row>
    <row r="40" spans="6:15" x14ac:dyDescent="0.25">
      <c r="F40"/>
      <c r="O40"/>
    </row>
    <row r="41" spans="6:15" x14ac:dyDescent="0.25">
      <c r="F41"/>
      <c r="O41"/>
    </row>
    <row r="42" spans="6:15" x14ac:dyDescent="0.25">
      <c r="F42"/>
      <c r="O42"/>
    </row>
    <row r="43" spans="6:15" x14ac:dyDescent="0.25">
      <c r="F43"/>
      <c r="O43"/>
    </row>
    <row r="44" spans="6:15" x14ac:dyDescent="0.25">
      <c r="F44"/>
      <c r="O44"/>
    </row>
    <row r="45" spans="6:15" x14ac:dyDescent="0.25">
      <c r="F45"/>
      <c r="O45"/>
    </row>
    <row r="46" spans="6:15" x14ac:dyDescent="0.25">
      <c r="F46"/>
      <c r="O46"/>
    </row>
    <row r="47" spans="6:15" x14ac:dyDescent="0.25">
      <c r="F47"/>
      <c r="O47"/>
    </row>
    <row r="48" spans="6:15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7"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12</xdr:col>
                    <xdr:colOff>28575</xdr:colOff>
                    <xdr:row>5</xdr:row>
                    <xdr:rowOff>161925</xdr:rowOff>
                  </from>
                  <to>
                    <xdr:col>13</xdr:col>
                    <xdr:colOff>123825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12</xdr:col>
                    <xdr:colOff>57150</xdr:colOff>
                    <xdr:row>8</xdr:row>
                    <xdr:rowOff>142875</xdr:rowOff>
                  </from>
                  <to>
                    <xdr:col>12</xdr:col>
                    <xdr:colOff>2152650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533400</xdr:colOff>
                    <xdr:row>8</xdr:row>
                    <xdr:rowOff>133350</xdr:rowOff>
                  </from>
                  <to>
                    <xdr:col>14</xdr:col>
                    <xdr:colOff>142875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HommeDame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228600</xdr:rowOff>
                  </from>
                  <to>
                    <xdr:col>6</xdr:col>
                    <xdr:colOff>352425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ImporterBrutNet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361950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6</xdr:col>
                    <xdr:colOff>171450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 macro="[0]!RetraitementFeuilleMatchFFGolf">
                <anchor moveWithCells="1">
                  <from>
                    <xdr:col>6</xdr:col>
                    <xdr:colOff>476250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314325</xdr:colOff>
                    <xdr:row>5</xdr:row>
                    <xdr:rowOff>161925</xdr:rowOff>
                  </from>
                  <to>
                    <xdr:col>14</xdr:col>
                    <xdr:colOff>190500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400050</xdr:colOff>
                    <xdr:row>6</xdr:row>
                    <xdr:rowOff>180975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6</xdr:col>
                    <xdr:colOff>457200</xdr:colOff>
                    <xdr:row>9</xdr:row>
                    <xdr:rowOff>38100</xdr:rowOff>
                  </from>
                  <to>
                    <xdr:col>9</xdr:col>
                    <xdr:colOff>123825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6"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38</v>
      </c>
      <c r="E2" s="19"/>
      <c r="F2" s="173" t="s">
        <v>19</v>
      </c>
      <c r="G2" s="174"/>
      <c r="H2" s="174"/>
      <c r="I2" s="175"/>
      <c r="J2" s="176" t="s">
        <v>20</v>
      </c>
      <c r="K2" s="177"/>
      <c r="L2" s="177"/>
      <c r="M2" s="178"/>
      <c r="N2" s="179" t="s">
        <v>21</v>
      </c>
      <c r="O2" s="174"/>
      <c r="P2" s="174"/>
      <c r="Q2" s="175"/>
      <c r="R2" s="176" t="s">
        <v>22</v>
      </c>
      <c r="S2" s="177"/>
      <c r="T2" s="177"/>
      <c r="U2" s="178"/>
      <c r="V2" s="179" t="s">
        <v>23</v>
      </c>
      <c r="W2" s="174"/>
      <c r="X2" s="174"/>
      <c r="Y2" s="175"/>
      <c r="Z2" s="176" t="s">
        <v>24</v>
      </c>
      <c r="AA2" s="177"/>
      <c r="AB2" s="177"/>
      <c r="AC2" s="180"/>
      <c r="AD2" s="166" t="s">
        <v>85</v>
      </c>
      <c r="AE2" s="167"/>
      <c r="AF2" s="168" t="s">
        <v>18</v>
      </c>
      <c r="AG2" s="169"/>
      <c r="AH2" s="169"/>
      <c r="AI2" s="170"/>
      <c r="AJ2" s="171" t="s">
        <v>26</v>
      </c>
      <c r="AK2" s="172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 t="shared" ref="AD4:AD42" si="0">IF(MIN(F4,J4,N4,R4,V4,Z4)&lt;&gt;0,MIN(F4,J4,N4,R4,V4,Z4),"")</f>
        <v/>
      </c>
      <c r="AE4" s="147" t="str">
        <f t="shared" ref="AE4:AE42" si="1">IF(MIN(H4,L4,P4,T4,X4,AB4)&lt;&gt;0,MIN(H4,L4,P4,T4,X4,AB4),"")</f>
        <v/>
      </c>
      <c r="AF4" s="147"/>
      <c r="AG4" s="146"/>
      <c r="AH4" s="147"/>
      <c r="AI4" s="146"/>
      <c r="AJ4" s="145" t="str">
        <f t="shared" ref="AJ4:AJ42" si="2">IF(AD4="","",IF(ISBLANK(AF4),"En cours",AD4+AF4))</f>
        <v/>
      </c>
      <c r="AK4" s="145" t="str">
        <f t="shared" ref="AK4:AK42" si="3"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 t="shared" si="0"/>
        <v/>
      </c>
      <c r="AE5" s="147" t="str">
        <f t="shared" si="1"/>
        <v/>
      </c>
      <c r="AF5" s="147"/>
      <c r="AG5" s="146"/>
      <c r="AH5" s="147"/>
      <c r="AI5" s="146"/>
      <c r="AJ5" s="145" t="str">
        <f t="shared" si="2"/>
        <v/>
      </c>
      <c r="AK5" s="145" t="str">
        <f t="shared" si="3"/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 t="shared" si="0"/>
        <v/>
      </c>
      <c r="AE6" s="147" t="str">
        <f t="shared" si="1"/>
        <v/>
      </c>
      <c r="AF6" s="147"/>
      <c r="AG6" s="146"/>
      <c r="AH6" s="147"/>
      <c r="AI6" s="146"/>
      <c r="AJ6" s="145" t="str">
        <f t="shared" si="2"/>
        <v/>
      </c>
      <c r="AK6" s="145" t="str">
        <f t="shared" si="3"/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 t="shared" si="0"/>
        <v/>
      </c>
      <c r="AE7" s="147" t="str">
        <f t="shared" si="1"/>
        <v/>
      </c>
      <c r="AF7" s="147"/>
      <c r="AG7" s="146"/>
      <c r="AH7" s="147"/>
      <c r="AI7" s="146"/>
      <c r="AJ7" s="145" t="str">
        <f t="shared" si="2"/>
        <v/>
      </c>
      <c r="AK7" s="145" t="str">
        <f t="shared" si="3"/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 t="shared" si="0"/>
        <v/>
      </c>
      <c r="AE8" s="147" t="str">
        <f t="shared" si="1"/>
        <v/>
      </c>
      <c r="AF8" s="147"/>
      <c r="AG8" s="146"/>
      <c r="AH8" s="147"/>
      <c r="AI8" s="146"/>
      <c r="AJ8" s="145" t="str">
        <f t="shared" si="2"/>
        <v/>
      </c>
      <c r="AK8" s="145" t="str">
        <f t="shared" si="3"/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 t="shared" si="0"/>
        <v/>
      </c>
      <c r="AE9" s="147" t="str">
        <f t="shared" si="1"/>
        <v/>
      </c>
      <c r="AF9" s="147"/>
      <c r="AG9" s="146"/>
      <c r="AH9" s="147"/>
      <c r="AI9" s="146"/>
      <c r="AJ9" s="145" t="str">
        <f t="shared" si="2"/>
        <v/>
      </c>
      <c r="AK9" s="145" t="str">
        <f t="shared" si="3"/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 t="shared" si="0"/>
        <v/>
      </c>
      <c r="AE10" s="147" t="str">
        <f t="shared" si="1"/>
        <v/>
      </c>
      <c r="AF10" s="147"/>
      <c r="AG10" s="146"/>
      <c r="AH10" s="147"/>
      <c r="AI10" s="146"/>
      <c r="AJ10" s="145" t="str">
        <f t="shared" si="2"/>
        <v/>
      </c>
      <c r="AK10" s="145" t="str">
        <f t="shared" si="3"/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 t="shared" si="0"/>
        <v/>
      </c>
      <c r="AE11" s="147" t="str">
        <f t="shared" si="1"/>
        <v/>
      </c>
      <c r="AF11" s="147"/>
      <c r="AG11" s="146"/>
      <c r="AH11" s="147"/>
      <c r="AI11" s="146"/>
      <c r="AJ11" s="145" t="str">
        <f t="shared" si="2"/>
        <v/>
      </c>
      <c r="AK11" s="145" t="str">
        <f t="shared" si="3"/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 t="shared" si="0"/>
        <v/>
      </c>
      <c r="AE12" s="147" t="str">
        <f t="shared" si="1"/>
        <v/>
      </c>
      <c r="AF12" s="147"/>
      <c r="AG12" s="146"/>
      <c r="AH12" s="147"/>
      <c r="AI12" s="146"/>
      <c r="AJ12" s="145" t="str">
        <f t="shared" si="2"/>
        <v/>
      </c>
      <c r="AK12" s="145" t="str">
        <f t="shared" si="3"/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 t="shared" si="0"/>
        <v/>
      </c>
      <c r="AE13" s="147" t="str">
        <f t="shared" si="1"/>
        <v/>
      </c>
      <c r="AF13" s="147"/>
      <c r="AG13" s="146"/>
      <c r="AH13" s="147"/>
      <c r="AI13" s="146"/>
      <c r="AJ13" s="145" t="str">
        <f t="shared" si="2"/>
        <v/>
      </c>
      <c r="AK13" s="145" t="str">
        <f t="shared" si="3"/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 t="shared" si="0"/>
        <v/>
      </c>
      <c r="AE14" s="147" t="str">
        <f t="shared" si="1"/>
        <v/>
      </c>
      <c r="AF14" s="147"/>
      <c r="AG14" s="146"/>
      <c r="AH14" s="147"/>
      <c r="AI14" s="146"/>
      <c r="AJ14" s="145" t="str">
        <f t="shared" si="2"/>
        <v/>
      </c>
      <c r="AK14" s="145" t="str">
        <f t="shared" si="3"/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 t="shared" si="0"/>
        <v/>
      </c>
      <c r="AE15" s="147" t="str">
        <f t="shared" si="1"/>
        <v/>
      </c>
      <c r="AF15" s="147"/>
      <c r="AG15" s="146"/>
      <c r="AH15" s="147"/>
      <c r="AI15" s="146"/>
      <c r="AJ15" s="145" t="str">
        <f t="shared" si="2"/>
        <v/>
      </c>
      <c r="AK15" s="145" t="str">
        <f t="shared" si="3"/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 t="shared" si="0"/>
        <v/>
      </c>
      <c r="AE16" s="147" t="str">
        <f t="shared" si="1"/>
        <v/>
      </c>
      <c r="AF16" s="147"/>
      <c r="AG16" s="146"/>
      <c r="AH16" s="147"/>
      <c r="AI16" s="146"/>
      <c r="AJ16" s="145" t="str">
        <f t="shared" si="2"/>
        <v/>
      </c>
      <c r="AK16" s="145" t="str">
        <f t="shared" si="3"/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 t="shared" si="0"/>
        <v/>
      </c>
      <c r="AE17" s="147" t="str">
        <f t="shared" si="1"/>
        <v/>
      </c>
      <c r="AF17" s="147"/>
      <c r="AG17" s="146"/>
      <c r="AH17" s="147"/>
      <c r="AI17" s="146"/>
      <c r="AJ17" s="145" t="str">
        <f t="shared" si="2"/>
        <v/>
      </c>
      <c r="AK17" s="145" t="str">
        <f t="shared" si="3"/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 t="shared" si="0"/>
        <v/>
      </c>
      <c r="AE18" s="147" t="str">
        <f t="shared" si="1"/>
        <v/>
      </c>
      <c r="AF18" s="147"/>
      <c r="AG18" s="146"/>
      <c r="AH18" s="147"/>
      <c r="AI18" s="146"/>
      <c r="AJ18" s="145" t="str">
        <f t="shared" si="2"/>
        <v/>
      </c>
      <c r="AK18" s="145" t="str">
        <f t="shared" si="3"/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 t="shared" si="0"/>
        <v/>
      </c>
      <c r="AE19" s="147" t="str">
        <f t="shared" si="1"/>
        <v/>
      </c>
      <c r="AF19" s="147"/>
      <c r="AG19" s="146"/>
      <c r="AH19" s="147"/>
      <c r="AI19" s="146"/>
      <c r="AJ19" s="145" t="str">
        <f t="shared" si="2"/>
        <v/>
      </c>
      <c r="AK19" s="145" t="str">
        <f t="shared" si="3"/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 t="shared" si="0"/>
        <v/>
      </c>
      <c r="AE20" s="147" t="str">
        <f t="shared" si="1"/>
        <v/>
      </c>
      <c r="AF20" s="147"/>
      <c r="AG20" s="146"/>
      <c r="AH20" s="147"/>
      <c r="AI20" s="146"/>
      <c r="AJ20" s="145" t="str">
        <f t="shared" si="2"/>
        <v/>
      </c>
      <c r="AK20" s="145" t="str">
        <f t="shared" si="3"/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si="0"/>
        <v/>
      </c>
      <c r="AE21" s="147" t="str">
        <f t="shared" si="1"/>
        <v/>
      </c>
      <c r="AF21" s="147"/>
      <c r="AG21" s="146"/>
      <c r="AH21" s="147"/>
      <c r="AI21" s="146"/>
      <c r="AJ21" s="145" t="str">
        <f t="shared" si="2"/>
        <v/>
      </c>
      <c r="AK21" s="145" t="str">
        <f t="shared" si="3"/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0"/>
        <v/>
      </c>
      <c r="AE22" s="147" t="str">
        <f t="shared" si="1"/>
        <v/>
      </c>
      <c r="AF22" s="147"/>
      <c r="AG22" s="146"/>
      <c r="AH22" s="147"/>
      <c r="AI22" s="146"/>
      <c r="AJ22" s="145" t="str">
        <f t="shared" si="2"/>
        <v/>
      </c>
      <c r="AK22" s="145" t="str">
        <f t="shared" si="3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si="0"/>
        <v/>
      </c>
      <c r="AE23" s="147" t="str">
        <f t="shared" si="1"/>
        <v/>
      </c>
      <c r="AF23" s="147"/>
      <c r="AG23" s="146"/>
      <c r="AH23" s="147"/>
      <c r="AI23" s="146"/>
      <c r="AJ23" s="145" t="str">
        <f t="shared" si="2"/>
        <v/>
      </c>
      <c r="AK23" s="145" t="str">
        <f t="shared" si="3"/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0"/>
        <v/>
      </c>
      <c r="AE24" s="147" t="str">
        <f t="shared" si="1"/>
        <v/>
      </c>
      <c r="AF24" s="147"/>
      <c r="AG24" s="146"/>
      <c r="AH24" s="147"/>
      <c r="AI24" s="146"/>
      <c r="AJ24" s="145" t="str">
        <f t="shared" si="2"/>
        <v/>
      </c>
      <c r="AK24" s="145" t="str">
        <f t="shared" si="3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0"/>
        <v/>
      </c>
      <c r="AE25" s="147" t="str">
        <f t="shared" si="1"/>
        <v/>
      </c>
      <c r="AF25" s="147"/>
      <c r="AG25" s="146"/>
      <c r="AH25" s="147"/>
      <c r="AI25" s="146"/>
      <c r="AJ25" s="145" t="str">
        <f t="shared" si="2"/>
        <v/>
      </c>
      <c r="AK25" s="145" t="str">
        <f t="shared" si="3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0"/>
        <v/>
      </c>
      <c r="AE26" s="147" t="str">
        <f t="shared" si="1"/>
        <v/>
      </c>
      <c r="AF26" s="147"/>
      <c r="AG26" s="146"/>
      <c r="AH26" s="147"/>
      <c r="AI26" s="146"/>
      <c r="AJ26" s="145" t="str">
        <f t="shared" si="2"/>
        <v/>
      </c>
      <c r="AK26" s="145" t="str">
        <f t="shared" si="3"/>
        <v/>
      </c>
    </row>
    <row r="27" spans="2:37" ht="21" x14ac:dyDescent="0.35">
      <c r="B27" s="146"/>
      <c r="C27" s="146"/>
      <c r="D27" s="146"/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7" t="str">
        <f t="shared" si="0"/>
        <v/>
      </c>
      <c r="AE27" s="147" t="str">
        <f t="shared" si="1"/>
        <v/>
      </c>
      <c r="AF27" s="147"/>
      <c r="AG27" s="146"/>
      <c r="AH27" s="147"/>
      <c r="AI27" s="146"/>
      <c r="AJ27" s="145" t="str">
        <f t="shared" si="2"/>
        <v/>
      </c>
      <c r="AK27" s="145" t="str">
        <f t="shared" si="3"/>
        <v/>
      </c>
    </row>
    <row r="28" spans="2:37" ht="21" x14ac:dyDescent="0.35"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7" t="str">
        <f t="shared" si="0"/>
        <v/>
      </c>
      <c r="AE28" s="147" t="str">
        <f t="shared" si="1"/>
        <v/>
      </c>
      <c r="AF28" s="147"/>
      <c r="AG28" s="146"/>
      <c r="AH28" s="147"/>
      <c r="AI28" s="146"/>
      <c r="AJ28" s="145" t="str">
        <f t="shared" si="2"/>
        <v/>
      </c>
      <c r="AK28" s="145" t="str">
        <f t="shared" si="3"/>
        <v/>
      </c>
    </row>
    <row r="29" spans="2:37" ht="21" x14ac:dyDescent="0.35"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7" t="str">
        <f t="shared" si="0"/>
        <v/>
      </c>
      <c r="AE29" s="147" t="str">
        <f t="shared" si="1"/>
        <v/>
      </c>
      <c r="AF29" s="147"/>
      <c r="AG29" s="146"/>
      <c r="AH29" s="147"/>
      <c r="AI29" s="146"/>
      <c r="AJ29" s="145" t="str">
        <f t="shared" si="2"/>
        <v/>
      </c>
      <c r="AK29" s="145" t="str">
        <f t="shared" si="3"/>
        <v/>
      </c>
    </row>
    <row r="30" spans="2:37" ht="21" x14ac:dyDescent="0.35"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7" t="str">
        <f t="shared" si="0"/>
        <v/>
      </c>
      <c r="AE30" s="147" t="str">
        <f t="shared" si="1"/>
        <v/>
      </c>
      <c r="AF30" s="147"/>
      <c r="AG30" s="146"/>
      <c r="AH30" s="147"/>
      <c r="AI30" s="146"/>
      <c r="AJ30" s="145" t="str">
        <f t="shared" si="2"/>
        <v/>
      </c>
      <c r="AK30" s="145" t="str">
        <f t="shared" si="3"/>
        <v/>
      </c>
    </row>
    <row r="31" spans="2:37" ht="21" x14ac:dyDescent="0.35">
      <c r="B31" s="146"/>
      <c r="C31" s="146"/>
      <c r="D31" s="146"/>
      <c r="E31" s="146"/>
      <c r="F31" s="146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7" t="str">
        <f t="shared" si="0"/>
        <v/>
      </c>
      <c r="AE31" s="147" t="str">
        <f t="shared" si="1"/>
        <v/>
      </c>
      <c r="AF31" s="147"/>
      <c r="AG31" s="146"/>
      <c r="AH31" s="147"/>
      <c r="AI31" s="146"/>
      <c r="AJ31" s="145" t="str">
        <f t="shared" si="2"/>
        <v/>
      </c>
      <c r="AK31" s="145" t="str">
        <f t="shared" si="3"/>
        <v/>
      </c>
    </row>
    <row r="32" spans="2:37" ht="21" x14ac:dyDescent="0.35">
      <c r="B32" s="146"/>
      <c r="C32" s="146"/>
      <c r="D32" s="146"/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7" t="str">
        <f t="shared" si="0"/>
        <v/>
      </c>
      <c r="AE32" s="147" t="str">
        <f t="shared" si="1"/>
        <v/>
      </c>
      <c r="AF32" s="147"/>
      <c r="AG32" s="146"/>
      <c r="AH32" s="147"/>
      <c r="AI32" s="146"/>
      <c r="AJ32" s="145" t="str">
        <f t="shared" si="2"/>
        <v/>
      </c>
      <c r="AK32" s="145" t="str">
        <f t="shared" si="3"/>
        <v/>
      </c>
    </row>
    <row r="33" spans="2:37" ht="21" x14ac:dyDescent="0.35">
      <c r="B33" s="146"/>
      <c r="C33" s="146"/>
      <c r="D33" s="146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7" t="str">
        <f t="shared" si="0"/>
        <v/>
      </c>
      <c r="AE33" s="147" t="str">
        <f t="shared" si="1"/>
        <v/>
      </c>
      <c r="AF33" s="147"/>
      <c r="AG33" s="146"/>
      <c r="AH33" s="147"/>
      <c r="AI33" s="146"/>
      <c r="AJ33" s="145" t="str">
        <f t="shared" si="2"/>
        <v/>
      </c>
      <c r="AK33" s="145" t="str">
        <f t="shared" si="3"/>
        <v/>
      </c>
    </row>
    <row r="34" spans="2:37" ht="21" x14ac:dyDescent="0.35">
      <c r="B34" s="146"/>
      <c r="C34" s="146"/>
      <c r="D34" s="146"/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7" t="str">
        <f t="shared" si="0"/>
        <v/>
      </c>
      <c r="AE34" s="147" t="str">
        <f t="shared" si="1"/>
        <v/>
      </c>
      <c r="AF34" s="147"/>
      <c r="AG34" s="146"/>
      <c r="AH34" s="147"/>
      <c r="AI34" s="146"/>
      <c r="AJ34" s="145" t="str">
        <f t="shared" si="2"/>
        <v/>
      </c>
      <c r="AK34" s="145" t="str">
        <f t="shared" si="3"/>
        <v/>
      </c>
    </row>
    <row r="35" spans="2:37" ht="21" x14ac:dyDescent="0.35">
      <c r="B35" s="146"/>
      <c r="C35" s="146"/>
      <c r="D35" s="146"/>
      <c r="E35" s="146"/>
      <c r="F35" s="146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7" t="str">
        <f t="shared" si="0"/>
        <v/>
      </c>
      <c r="AE35" s="147" t="str">
        <f t="shared" si="1"/>
        <v/>
      </c>
      <c r="AF35" s="147"/>
      <c r="AG35" s="146"/>
      <c r="AH35" s="147"/>
      <c r="AI35" s="146"/>
      <c r="AJ35" s="145" t="str">
        <f t="shared" si="2"/>
        <v/>
      </c>
      <c r="AK35" s="145" t="str">
        <f t="shared" si="3"/>
        <v/>
      </c>
    </row>
    <row r="36" spans="2:37" ht="21" x14ac:dyDescent="0.35">
      <c r="B36" s="146"/>
      <c r="C36" s="146"/>
      <c r="D36" s="146"/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7" t="str">
        <f t="shared" si="0"/>
        <v/>
      </c>
      <c r="AE36" s="147" t="str">
        <f t="shared" si="1"/>
        <v/>
      </c>
      <c r="AF36" s="147"/>
      <c r="AG36" s="146"/>
      <c r="AH36" s="147"/>
      <c r="AI36" s="146"/>
      <c r="AJ36" s="145" t="str">
        <f t="shared" si="2"/>
        <v/>
      </c>
      <c r="AK36" s="145" t="str">
        <f t="shared" si="3"/>
        <v/>
      </c>
    </row>
    <row r="37" spans="2:37" ht="21" x14ac:dyDescent="0.35">
      <c r="B37" s="146"/>
      <c r="C37" s="146"/>
      <c r="D37" s="146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7" t="str">
        <f t="shared" si="0"/>
        <v/>
      </c>
      <c r="AE37" s="147" t="str">
        <f t="shared" si="1"/>
        <v/>
      </c>
      <c r="AF37" s="147"/>
      <c r="AG37" s="146"/>
      <c r="AH37" s="147"/>
      <c r="AI37" s="146"/>
      <c r="AJ37" s="145" t="str">
        <f t="shared" si="2"/>
        <v/>
      </c>
      <c r="AK37" s="145" t="str">
        <f t="shared" si="3"/>
        <v/>
      </c>
    </row>
    <row r="38" spans="2:37" ht="21" x14ac:dyDescent="0.35">
      <c r="B38" s="146"/>
      <c r="C38" s="146"/>
      <c r="D38" s="146"/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7" t="str">
        <f t="shared" si="0"/>
        <v/>
      </c>
      <c r="AE38" s="147" t="str">
        <f t="shared" si="1"/>
        <v/>
      </c>
      <c r="AF38" s="147"/>
      <c r="AG38" s="146"/>
      <c r="AH38" s="147"/>
      <c r="AI38" s="146"/>
      <c r="AJ38" s="145" t="str">
        <f t="shared" si="2"/>
        <v/>
      </c>
      <c r="AK38" s="145" t="str">
        <f t="shared" si="3"/>
        <v/>
      </c>
    </row>
    <row r="39" spans="2:37" ht="21" x14ac:dyDescent="0.35"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7" t="str">
        <f t="shared" si="0"/>
        <v/>
      </c>
      <c r="AE39" s="147" t="str">
        <f t="shared" si="1"/>
        <v/>
      </c>
      <c r="AF39" s="147"/>
      <c r="AG39" s="146"/>
      <c r="AH39" s="147"/>
      <c r="AI39" s="146"/>
      <c r="AJ39" s="145" t="str">
        <f t="shared" si="2"/>
        <v/>
      </c>
      <c r="AK39" s="145" t="str">
        <f t="shared" si="3"/>
        <v/>
      </c>
    </row>
    <row r="40" spans="2:37" ht="21" x14ac:dyDescent="0.35">
      <c r="B40" s="146"/>
      <c r="C40" s="146"/>
      <c r="D40" s="146"/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7" t="str">
        <f t="shared" si="0"/>
        <v/>
      </c>
      <c r="AE40" s="147" t="str">
        <f t="shared" si="1"/>
        <v/>
      </c>
      <c r="AF40" s="147"/>
      <c r="AG40" s="146"/>
      <c r="AH40" s="147"/>
      <c r="AI40" s="146"/>
      <c r="AJ40" s="145" t="str">
        <f t="shared" si="2"/>
        <v/>
      </c>
      <c r="AK40" s="145" t="str">
        <f t="shared" si="3"/>
        <v/>
      </c>
    </row>
    <row r="41" spans="2:37" ht="21" x14ac:dyDescent="0.35">
      <c r="B41" s="146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7" t="str">
        <f t="shared" si="0"/>
        <v/>
      </c>
      <c r="AE41" s="147" t="str">
        <f t="shared" si="1"/>
        <v/>
      </c>
      <c r="AF41" s="147"/>
      <c r="AG41" s="146"/>
      <c r="AH41" s="147"/>
      <c r="AI41" s="146"/>
      <c r="AJ41" s="145" t="str">
        <f t="shared" si="2"/>
        <v/>
      </c>
      <c r="AK41" s="145" t="str">
        <f t="shared" si="3"/>
        <v/>
      </c>
    </row>
    <row r="42" spans="2:37" ht="21" x14ac:dyDescent="0.35">
      <c r="B42" s="146"/>
      <c r="C42" s="146"/>
      <c r="D42" s="146"/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7" t="str">
        <f t="shared" si="0"/>
        <v/>
      </c>
      <c r="AE42" s="147" t="str">
        <f t="shared" si="1"/>
        <v/>
      </c>
      <c r="AF42" s="147"/>
      <c r="AG42" s="146"/>
      <c r="AH42" s="147"/>
      <c r="AI42" s="146"/>
      <c r="AJ42" s="145" t="str">
        <f t="shared" si="2"/>
        <v/>
      </c>
      <c r="AK42" s="145" t="str">
        <f t="shared" si="3"/>
        <v/>
      </c>
    </row>
    <row r="43" spans="2:37" ht="21" x14ac:dyDescent="0.35">
      <c r="B43" s="146"/>
      <c r="C43" s="146"/>
      <c r="D43" s="146"/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7" t="str">
        <f t="shared" ref="AD43:AD67" si="4">IF(MIN(F43,J43,N43,R43,V43,Z43)&lt;&gt;0,MIN(F43,J43,N43,R43,V43,Z43),"")</f>
        <v/>
      </c>
      <c r="AE43" s="147" t="str">
        <f t="shared" ref="AE43:AE67" si="5">IF(MIN(H43,L43,P43,T43,X43,AB43)&lt;&gt;0,MIN(H43,L43,P43,T43,X43,AB43),"")</f>
        <v/>
      </c>
      <c r="AF43" s="147"/>
      <c r="AG43" s="146"/>
      <c r="AH43" s="147"/>
      <c r="AI43" s="146"/>
      <c r="AJ43" s="145" t="str">
        <f t="shared" ref="AJ43:AJ67" si="6">IF(AD43="","",IF(ISBLANK(AF43),"En cours",AD43+AF43))</f>
        <v/>
      </c>
      <c r="AK43" s="145" t="str">
        <f t="shared" ref="AK43:AK67" si="7">IF(AE43="","",IF(ISBLANK(AH43),"En cours",AE43+AH43))</f>
        <v/>
      </c>
    </row>
    <row r="44" spans="2:37" ht="21" x14ac:dyDescent="0.35">
      <c r="B44" s="146"/>
      <c r="C44" s="146"/>
      <c r="D44" s="146"/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7" t="str">
        <f t="shared" si="4"/>
        <v/>
      </c>
      <c r="AE44" s="147" t="str">
        <f t="shared" si="5"/>
        <v/>
      </c>
      <c r="AF44" s="147"/>
      <c r="AG44" s="146"/>
      <c r="AH44" s="147"/>
      <c r="AI44" s="146"/>
      <c r="AJ44" s="145" t="str">
        <f t="shared" si="6"/>
        <v/>
      </c>
      <c r="AK44" s="145" t="str">
        <f t="shared" si="7"/>
        <v/>
      </c>
    </row>
    <row r="45" spans="2:37" ht="21" x14ac:dyDescent="0.35"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7" t="str">
        <f t="shared" si="4"/>
        <v/>
      </c>
      <c r="AE45" s="147" t="str">
        <f t="shared" si="5"/>
        <v/>
      </c>
      <c r="AF45" s="147"/>
      <c r="AG45" s="146"/>
      <c r="AH45" s="147"/>
      <c r="AI45" s="146"/>
      <c r="AJ45" s="145" t="str">
        <f t="shared" si="6"/>
        <v/>
      </c>
      <c r="AK45" s="145" t="str">
        <f t="shared" si="7"/>
        <v/>
      </c>
    </row>
    <row r="46" spans="2:37" ht="21" x14ac:dyDescent="0.35"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7" t="str">
        <f t="shared" si="4"/>
        <v/>
      </c>
      <c r="AE46" s="147" t="str">
        <f t="shared" si="5"/>
        <v/>
      </c>
      <c r="AF46" s="147"/>
      <c r="AG46" s="146"/>
      <c r="AH46" s="147"/>
      <c r="AI46" s="146"/>
      <c r="AJ46" s="145" t="str">
        <f t="shared" si="6"/>
        <v/>
      </c>
      <c r="AK46" s="145" t="str">
        <f t="shared" si="7"/>
        <v/>
      </c>
    </row>
    <row r="47" spans="2:37" ht="21" x14ac:dyDescent="0.35"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7" t="str">
        <f t="shared" si="4"/>
        <v/>
      </c>
      <c r="AE47" s="147" t="str">
        <f t="shared" si="5"/>
        <v/>
      </c>
      <c r="AF47" s="147"/>
      <c r="AG47" s="146"/>
      <c r="AH47" s="147"/>
      <c r="AI47" s="146"/>
      <c r="AJ47" s="145" t="str">
        <f t="shared" si="6"/>
        <v/>
      </c>
      <c r="AK47" s="145" t="str">
        <f t="shared" si="7"/>
        <v/>
      </c>
    </row>
    <row r="48" spans="2:37" ht="21" x14ac:dyDescent="0.35"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7" t="str">
        <f t="shared" si="4"/>
        <v/>
      </c>
      <c r="AE48" s="147" t="str">
        <f t="shared" si="5"/>
        <v/>
      </c>
      <c r="AF48" s="147"/>
      <c r="AG48" s="146"/>
      <c r="AH48" s="147"/>
      <c r="AI48" s="146"/>
      <c r="AJ48" s="145" t="str">
        <f t="shared" si="6"/>
        <v/>
      </c>
      <c r="AK48" s="145" t="str">
        <f t="shared" si="7"/>
        <v/>
      </c>
    </row>
    <row r="49" spans="2:37" ht="21" x14ac:dyDescent="0.35"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7" t="str">
        <f t="shared" si="4"/>
        <v/>
      </c>
      <c r="AE49" s="147" t="str">
        <f t="shared" si="5"/>
        <v/>
      </c>
      <c r="AF49" s="147"/>
      <c r="AG49" s="146"/>
      <c r="AH49" s="147"/>
      <c r="AI49" s="146"/>
      <c r="AJ49" s="145" t="str">
        <f t="shared" si="6"/>
        <v/>
      </c>
      <c r="AK49" s="145" t="str">
        <f t="shared" si="7"/>
        <v/>
      </c>
    </row>
    <row r="50" spans="2:37" ht="21" x14ac:dyDescent="0.35"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7" t="str">
        <f t="shared" si="4"/>
        <v/>
      </c>
      <c r="AE50" s="147" t="str">
        <f t="shared" si="5"/>
        <v/>
      </c>
      <c r="AF50" s="147"/>
      <c r="AG50" s="146"/>
      <c r="AH50" s="147"/>
      <c r="AI50" s="146"/>
      <c r="AJ50" s="145" t="str">
        <f t="shared" si="6"/>
        <v/>
      </c>
      <c r="AK50" s="145" t="str">
        <f t="shared" si="7"/>
        <v/>
      </c>
    </row>
    <row r="51" spans="2:37" ht="21" x14ac:dyDescent="0.35"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7" t="str">
        <f t="shared" si="4"/>
        <v/>
      </c>
      <c r="AE51" s="147" t="str">
        <f t="shared" si="5"/>
        <v/>
      </c>
      <c r="AF51" s="147"/>
      <c r="AG51" s="146"/>
      <c r="AH51" s="147"/>
      <c r="AI51" s="146"/>
      <c r="AJ51" s="145" t="str">
        <f t="shared" si="6"/>
        <v/>
      </c>
      <c r="AK51" s="145" t="str">
        <f t="shared" si="7"/>
        <v/>
      </c>
    </row>
    <row r="52" spans="2:37" ht="21" x14ac:dyDescent="0.35"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7" t="str">
        <f t="shared" si="4"/>
        <v/>
      </c>
      <c r="AE52" s="147" t="str">
        <f t="shared" si="5"/>
        <v/>
      </c>
      <c r="AF52" s="147"/>
      <c r="AG52" s="146"/>
      <c r="AH52" s="147"/>
      <c r="AI52" s="146"/>
      <c r="AJ52" s="145" t="str">
        <f t="shared" si="6"/>
        <v/>
      </c>
      <c r="AK52" s="145" t="str">
        <f t="shared" si="7"/>
        <v/>
      </c>
    </row>
    <row r="53" spans="2:37" ht="21" x14ac:dyDescent="0.35"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7" t="str">
        <f t="shared" si="4"/>
        <v/>
      </c>
      <c r="AE53" s="147" t="str">
        <f t="shared" si="5"/>
        <v/>
      </c>
      <c r="AF53" s="147"/>
      <c r="AG53" s="146"/>
      <c r="AH53" s="147"/>
      <c r="AI53" s="146"/>
      <c r="AJ53" s="145" t="str">
        <f t="shared" si="6"/>
        <v/>
      </c>
      <c r="AK53" s="145" t="str">
        <f t="shared" si="7"/>
        <v/>
      </c>
    </row>
    <row r="54" spans="2:37" ht="21" x14ac:dyDescent="0.35"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7" t="str">
        <f t="shared" si="4"/>
        <v/>
      </c>
      <c r="AE54" s="147" t="str">
        <f t="shared" si="5"/>
        <v/>
      </c>
      <c r="AF54" s="147"/>
      <c r="AG54" s="146"/>
      <c r="AH54" s="147"/>
      <c r="AI54" s="146"/>
      <c r="AJ54" s="145" t="str">
        <f t="shared" si="6"/>
        <v/>
      </c>
      <c r="AK54" s="145" t="str">
        <f t="shared" si="7"/>
        <v/>
      </c>
    </row>
    <row r="55" spans="2:37" ht="21" x14ac:dyDescent="0.35"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7" t="str">
        <f t="shared" si="4"/>
        <v/>
      </c>
      <c r="AE55" s="147" t="str">
        <f t="shared" si="5"/>
        <v/>
      </c>
      <c r="AF55" s="147"/>
      <c r="AG55" s="146"/>
      <c r="AH55" s="147"/>
      <c r="AI55" s="146"/>
      <c r="AJ55" s="145" t="str">
        <f t="shared" si="6"/>
        <v/>
      </c>
      <c r="AK55" s="145" t="str">
        <f t="shared" si="7"/>
        <v/>
      </c>
    </row>
    <row r="56" spans="2:37" ht="21" x14ac:dyDescent="0.35"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7" t="str">
        <f t="shared" si="4"/>
        <v/>
      </c>
      <c r="AE56" s="147" t="str">
        <f t="shared" si="5"/>
        <v/>
      </c>
      <c r="AF56" s="147"/>
      <c r="AG56" s="146"/>
      <c r="AH56" s="147"/>
      <c r="AI56" s="146"/>
      <c r="AJ56" s="145" t="str">
        <f t="shared" si="6"/>
        <v/>
      </c>
      <c r="AK56" s="145" t="str">
        <f t="shared" si="7"/>
        <v/>
      </c>
    </row>
    <row r="57" spans="2:37" ht="21" x14ac:dyDescent="0.35"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7" t="str">
        <f t="shared" si="4"/>
        <v/>
      </c>
      <c r="AE57" s="147" t="str">
        <f t="shared" si="5"/>
        <v/>
      </c>
      <c r="AF57" s="147"/>
      <c r="AG57" s="146"/>
      <c r="AH57" s="147"/>
      <c r="AI57" s="146"/>
      <c r="AJ57" s="145" t="str">
        <f t="shared" si="6"/>
        <v/>
      </c>
      <c r="AK57" s="145" t="str">
        <f t="shared" si="7"/>
        <v/>
      </c>
    </row>
    <row r="58" spans="2:37" ht="21" x14ac:dyDescent="0.35"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7" t="str">
        <f t="shared" si="4"/>
        <v/>
      </c>
      <c r="AE58" s="147" t="str">
        <f t="shared" si="5"/>
        <v/>
      </c>
      <c r="AF58" s="147"/>
      <c r="AG58" s="146"/>
      <c r="AH58" s="147"/>
      <c r="AI58" s="146"/>
      <c r="AJ58" s="145" t="str">
        <f t="shared" si="6"/>
        <v/>
      </c>
      <c r="AK58" s="145" t="str">
        <f t="shared" si="7"/>
        <v/>
      </c>
    </row>
    <row r="59" spans="2:37" ht="21" x14ac:dyDescent="0.35"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7" t="str">
        <f t="shared" si="4"/>
        <v/>
      </c>
      <c r="AE59" s="147" t="str">
        <f t="shared" si="5"/>
        <v/>
      </c>
      <c r="AF59" s="147"/>
      <c r="AG59" s="146"/>
      <c r="AH59" s="147"/>
      <c r="AI59" s="146"/>
      <c r="AJ59" s="145" t="str">
        <f t="shared" si="6"/>
        <v/>
      </c>
      <c r="AK59" s="145" t="str">
        <f t="shared" si="7"/>
        <v/>
      </c>
    </row>
    <row r="60" spans="2:37" ht="21" x14ac:dyDescent="0.35"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7" t="str">
        <f t="shared" si="4"/>
        <v/>
      </c>
      <c r="AE60" s="147" t="str">
        <f t="shared" si="5"/>
        <v/>
      </c>
      <c r="AF60" s="147"/>
      <c r="AG60" s="146"/>
      <c r="AH60" s="147"/>
      <c r="AI60" s="146"/>
      <c r="AJ60" s="145" t="str">
        <f t="shared" si="6"/>
        <v/>
      </c>
      <c r="AK60" s="145" t="str">
        <f t="shared" si="7"/>
        <v/>
      </c>
    </row>
    <row r="61" spans="2:37" ht="21" x14ac:dyDescent="0.35"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7" t="str">
        <f t="shared" si="4"/>
        <v/>
      </c>
      <c r="AE61" s="147" t="str">
        <f t="shared" si="5"/>
        <v/>
      </c>
      <c r="AF61" s="147"/>
      <c r="AG61" s="146"/>
      <c r="AH61" s="147"/>
      <c r="AI61" s="146"/>
      <c r="AJ61" s="145" t="str">
        <f t="shared" si="6"/>
        <v/>
      </c>
      <c r="AK61" s="145" t="str">
        <f t="shared" si="7"/>
        <v/>
      </c>
    </row>
    <row r="62" spans="2:37" ht="21" x14ac:dyDescent="0.35"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7" t="str">
        <f t="shared" si="4"/>
        <v/>
      </c>
      <c r="AE62" s="147" t="str">
        <f t="shared" si="5"/>
        <v/>
      </c>
      <c r="AF62" s="147"/>
      <c r="AG62" s="146"/>
      <c r="AH62" s="147"/>
      <c r="AI62" s="146"/>
      <c r="AJ62" s="145" t="str">
        <f t="shared" si="6"/>
        <v/>
      </c>
      <c r="AK62" s="145" t="str">
        <f t="shared" si="7"/>
        <v/>
      </c>
    </row>
    <row r="63" spans="2:37" ht="21" x14ac:dyDescent="0.35"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7" t="str">
        <f t="shared" si="4"/>
        <v/>
      </c>
      <c r="AE63" s="147" t="str">
        <f t="shared" si="5"/>
        <v/>
      </c>
      <c r="AF63" s="147"/>
      <c r="AG63" s="146"/>
      <c r="AH63" s="147"/>
      <c r="AI63" s="146"/>
      <c r="AJ63" s="145" t="str">
        <f t="shared" si="6"/>
        <v/>
      </c>
      <c r="AK63" s="145" t="str">
        <f t="shared" si="7"/>
        <v/>
      </c>
    </row>
    <row r="64" spans="2:37" ht="21" x14ac:dyDescent="0.35"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7" t="str">
        <f t="shared" si="4"/>
        <v/>
      </c>
      <c r="AE64" s="147" t="str">
        <f t="shared" si="5"/>
        <v/>
      </c>
      <c r="AF64" s="147"/>
      <c r="AG64" s="146"/>
      <c r="AH64" s="147"/>
      <c r="AI64" s="146"/>
      <c r="AJ64" s="145" t="str">
        <f t="shared" si="6"/>
        <v/>
      </c>
      <c r="AK64" s="145" t="str">
        <f t="shared" si="7"/>
        <v/>
      </c>
    </row>
    <row r="65" spans="2:37" ht="21" x14ac:dyDescent="0.35"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7" t="str">
        <f t="shared" si="4"/>
        <v/>
      </c>
      <c r="AE65" s="147" t="str">
        <f t="shared" si="5"/>
        <v/>
      </c>
      <c r="AF65" s="147"/>
      <c r="AG65" s="146"/>
      <c r="AH65" s="147"/>
      <c r="AI65" s="146"/>
      <c r="AJ65" s="145" t="str">
        <f t="shared" si="6"/>
        <v/>
      </c>
      <c r="AK65" s="145" t="str">
        <f t="shared" si="7"/>
        <v/>
      </c>
    </row>
    <row r="66" spans="2:37" ht="21" x14ac:dyDescent="0.35"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7" t="str">
        <f t="shared" si="4"/>
        <v/>
      </c>
      <c r="AE66" s="147" t="str">
        <f t="shared" si="5"/>
        <v/>
      </c>
      <c r="AF66" s="147"/>
      <c r="AG66" s="146"/>
      <c r="AH66" s="147"/>
      <c r="AI66" s="146"/>
      <c r="AJ66" s="145" t="str">
        <f t="shared" si="6"/>
        <v/>
      </c>
      <c r="AK66" s="145" t="str">
        <f t="shared" si="7"/>
        <v/>
      </c>
    </row>
    <row r="67" spans="2:37" ht="21" x14ac:dyDescent="0.35"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7" t="str">
        <f t="shared" si="4"/>
        <v/>
      </c>
      <c r="AE67" s="147" t="str">
        <f t="shared" si="5"/>
        <v/>
      </c>
      <c r="AF67" s="147"/>
      <c r="AG67" s="146"/>
      <c r="AH67" s="147"/>
      <c r="AI67" s="146"/>
      <c r="AJ67" s="145" t="str">
        <f t="shared" si="6"/>
        <v/>
      </c>
      <c r="AK67" s="145" t="str">
        <f t="shared" si="7"/>
        <v/>
      </c>
    </row>
    <row r="68" spans="2:37" ht="21" x14ac:dyDescent="0.35"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7" t="str">
        <f t="shared" ref="AD68:AD131" si="8">IF(MIN(F68,J68,N68,R68,V68,Z68)&lt;&gt;0,MIN(F68,J68,N68,R68,V68,Z68),"")</f>
        <v/>
      </c>
      <c r="AE68" s="147" t="str">
        <f t="shared" ref="AE68:AE131" si="9">IF(MIN(H68,L68,P68,T68,X68,AB68)&lt;&gt;0,MIN(H68,L68,P68,T68,X68,AB68),"")</f>
        <v/>
      </c>
      <c r="AF68" s="147"/>
      <c r="AG68" s="146"/>
      <c r="AH68" s="147"/>
      <c r="AI68" s="146"/>
      <c r="AJ68" s="145" t="str">
        <f t="shared" ref="AJ68:AJ131" si="10">IF(AD68="","",IF(ISBLANK(AF68),"En cours",AD68+AF68))</f>
        <v/>
      </c>
      <c r="AK68" s="145" t="str">
        <f t="shared" ref="AK68:AK131" si="11">IF(AE68="","",IF(ISBLANK(AH68),"En cours",AE68+AH68))</f>
        <v/>
      </c>
    </row>
    <row r="69" spans="2:37" ht="21" x14ac:dyDescent="0.35"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7" t="str">
        <f t="shared" si="8"/>
        <v/>
      </c>
      <c r="AE69" s="147" t="str">
        <f t="shared" si="9"/>
        <v/>
      </c>
      <c r="AF69" s="147"/>
      <c r="AG69" s="146"/>
      <c r="AH69" s="147"/>
      <c r="AI69" s="146"/>
      <c r="AJ69" s="145" t="str">
        <f t="shared" si="10"/>
        <v/>
      </c>
      <c r="AK69" s="145" t="str">
        <f t="shared" si="11"/>
        <v/>
      </c>
    </row>
    <row r="70" spans="2:37" ht="21" x14ac:dyDescent="0.35"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7" t="str">
        <f t="shared" si="8"/>
        <v/>
      </c>
      <c r="AE70" s="147" t="str">
        <f t="shared" si="9"/>
        <v/>
      </c>
      <c r="AF70" s="147"/>
      <c r="AG70" s="146"/>
      <c r="AH70" s="147"/>
      <c r="AI70" s="146"/>
      <c r="AJ70" s="145" t="str">
        <f t="shared" si="10"/>
        <v/>
      </c>
      <c r="AK70" s="145" t="str">
        <f t="shared" si="11"/>
        <v/>
      </c>
    </row>
    <row r="71" spans="2:37" ht="21" x14ac:dyDescent="0.35"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7" t="str">
        <f t="shared" si="8"/>
        <v/>
      </c>
      <c r="AE71" s="147" t="str">
        <f t="shared" si="9"/>
        <v/>
      </c>
      <c r="AF71" s="147"/>
      <c r="AG71" s="146"/>
      <c r="AH71" s="147"/>
      <c r="AI71" s="146"/>
      <c r="AJ71" s="145" t="str">
        <f t="shared" si="10"/>
        <v/>
      </c>
      <c r="AK71" s="145" t="str">
        <f t="shared" si="11"/>
        <v/>
      </c>
    </row>
    <row r="72" spans="2:37" ht="21" x14ac:dyDescent="0.35"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7" t="str">
        <f t="shared" si="8"/>
        <v/>
      </c>
      <c r="AE72" s="147" t="str">
        <f t="shared" si="9"/>
        <v/>
      </c>
      <c r="AF72" s="147"/>
      <c r="AG72" s="146"/>
      <c r="AH72" s="147"/>
      <c r="AI72" s="146"/>
      <c r="AJ72" s="145" t="str">
        <f t="shared" si="10"/>
        <v/>
      </c>
      <c r="AK72" s="145" t="str">
        <f t="shared" si="11"/>
        <v/>
      </c>
    </row>
    <row r="73" spans="2:37" ht="21" x14ac:dyDescent="0.35"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7" t="str">
        <f t="shared" si="8"/>
        <v/>
      </c>
      <c r="AE73" s="147" t="str">
        <f t="shared" si="9"/>
        <v/>
      </c>
      <c r="AF73" s="147"/>
      <c r="AG73" s="146"/>
      <c r="AH73" s="147"/>
      <c r="AI73" s="146"/>
      <c r="AJ73" s="145" t="str">
        <f t="shared" si="10"/>
        <v/>
      </c>
      <c r="AK73" s="145" t="str">
        <f t="shared" si="11"/>
        <v/>
      </c>
    </row>
    <row r="74" spans="2:37" ht="21" x14ac:dyDescent="0.35"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7" t="str">
        <f t="shared" si="8"/>
        <v/>
      </c>
      <c r="AE74" s="147" t="str">
        <f t="shared" si="9"/>
        <v/>
      </c>
      <c r="AF74" s="147"/>
      <c r="AG74" s="146"/>
      <c r="AH74" s="147"/>
      <c r="AI74" s="146"/>
      <c r="AJ74" s="145" t="str">
        <f t="shared" si="10"/>
        <v/>
      </c>
      <c r="AK74" s="145" t="str">
        <f t="shared" si="11"/>
        <v/>
      </c>
    </row>
    <row r="75" spans="2:37" ht="21" x14ac:dyDescent="0.35"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7" t="str">
        <f t="shared" si="8"/>
        <v/>
      </c>
      <c r="AE75" s="147" t="str">
        <f t="shared" si="9"/>
        <v/>
      </c>
      <c r="AF75" s="147"/>
      <c r="AG75" s="146"/>
      <c r="AH75" s="147"/>
      <c r="AI75" s="146"/>
      <c r="AJ75" s="145" t="str">
        <f t="shared" si="10"/>
        <v/>
      </c>
      <c r="AK75" s="145" t="str">
        <f t="shared" si="11"/>
        <v/>
      </c>
    </row>
    <row r="76" spans="2:37" ht="21" x14ac:dyDescent="0.35"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7" t="str">
        <f t="shared" si="8"/>
        <v/>
      </c>
      <c r="AE76" s="147" t="str">
        <f t="shared" si="9"/>
        <v/>
      </c>
      <c r="AF76" s="147"/>
      <c r="AG76" s="146"/>
      <c r="AH76" s="147"/>
      <c r="AI76" s="146"/>
      <c r="AJ76" s="145" t="str">
        <f t="shared" si="10"/>
        <v/>
      </c>
      <c r="AK76" s="145" t="str">
        <f t="shared" si="11"/>
        <v/>
      </c>
    </row>
    <row r="77" spans="2:37" ht="21" x14ac:dyDescent="0.35"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7" t="str">
        <f t="shared" si="8"/>
        <v/>
      </c>
      <c r="AE77" s="147" t="str">
        <f t="shared" si="9"/>
        <v/>
      </c>
      <c r="AF77" s="147"/>
      <c r="AG77" s="146"/>
      <c r="AH77" s="147"/>
      <c r="AI77" s="146"/>
      <c r="AJ77" s="145" t="str">
        <f t="shared" si="10"/>
        <v/>
      </c>
      <c r="AK77" s="145" t="str">
        <f t="shared" si="11"/>
        <v/>
      </c>
    </row>
    <row r="78" spans="2:37" ht="21" x14ac:dyDescent="0.35"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7" t="str">
        <f t="shared" si="8"/>
        <v/>
      </c>
      <c r="AE78" s="147" t="str">
        <f t="shared" si="9"/>
        <v/>
      </c>
      <c r="AF78" s="147"/>
      <c r="AG78" s="146"/>
      <c r="AH78" s="147"/>
      <c r="AI78" s="146"/>
      <c r="AJ78" s="145" t="str">
        <f t="shared" si="10"/>
        <v/>
      </c>
      <c r="AK78" s="145" t="str">
        <f t="shared" si="11"/>
        <v/>
      </c>
    </row>
    <row r="79" spans="2:37" ht="21" x14ac:dyDescent="0.35"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7" t="str">
        <f t="shared" si="8"/>
        <v/>
      </c>
      <c r="AE79" s="147" t="str">
        <f t="shared" si="9"/>
        <v/>
      </c>
      <c r="AF79" s="147"/>
      <c r="AG79" s="146"/>
      <c r="AH79" s="147"/>
      <c r="AI79" s="146"/>
      <c r="AJ79" s="145" t="str">
        <f t="shared" si="10"/>
        <v/>
      </c>
      <c r="AK79" s="145" t="str">
        <f t="shared" si="11"/>
        <v/>
      </c>
    </row>
    <row r="80" spans="2:37" ht="21" x14ac:dyDescent="0.35"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7" t="str">
        <f t="shared" si="8"/>
        <v/>
      </c>
      <c r="AE80" s="147" t="str">
        <f t="shared" si="9"/>
        <v/>
      </c>
      <c r="AF80" s="147"/>
      <c r="AG80" s="146"/>
      <c r="AH80" s="147"/>
      <c r="AI80" s="146"/>
      <c r="AJ80" s="145" t="str">
        <f t="shared" si="10"/>
        <v/>
      </c>
      <c r="AK80" s="145" t="str">
        <f t="shared" si="11"/>
        <v/>
      </c>
    </row>
    <row r="81" spans="2:37" ht="21" x14ac:dyDescent="0.35"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7" t="str">
        <f t="shared" si="8"/>
        <v/>
      </c>
      <c r="AE81" s="147" t="str">
        <f t="shared" si="9"/>
        <v/>
      </c>
      <c r="AF81" s="147"/>
      <c r="AG81" s="146"/>
      <c r="AH81" s="147"/>
      <c r="AI81" s="146"/>
      <c r="AJ81" s="145" t="str">
        <f t="shared" si="10"/>
        <v/>
      </c>
      <c r="AK81" s="145" t="str">
        <f t="shared" si="11"/>
        <v/>
      </c>
    </row>
    <row r="82" spans="2:37" ht="21" x14ac:dyDescent="0.35"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7" t="str">
        <f t="shared" si="8"/>
        <v/>
      </c>
      <c r="AE82" s="147" t="str">
        <f t="shared" si="9"/>
        <v/>
      </c>
      <c r="AF82" s="147"/>
      <c r="AG82" s="146"/>
      <c r="AH82" s="147"/>
      <c r="AI82" s="146"/>
      <c r="AJ82" s="145" t="str">
        <f t="shared" si="10"/>
        <v/>
      </c>
      <c r="AK82" s="145" t="str">
        <f t="shared" si="11"/>
        <v/>
      </c>
    </row>
    <row r="83" spans="2:37" ht="21" x14ac:dyDescent="0.35"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7" t="str">
        <f t="shared" si="8"/>
        <v/>
      </c>
      <c r="AE83" s="147" t="str">
        <f t="shared" si="9"/>
        <v/>
      </c>
      <c r="AF83" s="147"/>
      <c r="AG83" s="146"/>
      <c r="AH83" s="147"/>
      <c r="AI83" s="146"/>
      <c r="AJ83" s="145" t="str">
        <f t="shared" si="10"/>
        <v/>
      </c>
      <c r="AK83" s="145" t="str">
        <f t="shared" si="11"/>
        <v/>
      </c>
    </row>
    <row r="84" spans="2:37" ht="21" x14ac:dyDescent="0.35"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7" t="str">
        <f t="shared" si="8"/>
        <v/>
      </c>
      <c r="AE84" s="147" t="str">
        <f t="shared" si="9"/>
        <v/>
      </c>
      <c r="AF84" s="147"/>
      <c r="AG84" s="146"/>
      <c r="AH84" s="147"/>
      <c r="AI84" s="146"/>
      <c r="AJ84" s="145" t="str">
        <f t="shared" si="10"/>
        <v/>
      </c>
      <c r="AK84" s="145" t="str">
        <f t="shared" si="11"/>
        <v/>
      </c>
    </row>
    <row r="85" spans="2:37" ht="21" x14ac:dyDescent="0.35"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7" t="str">
        <f t="shared" si="8"/>
        <v/>
      </c>
      <c r="AE85" s="147" t="str">
        <f t="shared" si="9"/>
        <v/>
      </c>
      <c r="AF85" s="147"/>
      <c r="AG85" s="146"/>
      <c r="AH85" s="147"/>
      <c r="AI85" s="146"/>
      <c r="AJ85" s="145" t="str">
        <f t="shared" si="10"/>
        <v/>
      </c>
      <c r="AK85" s="145" t="str">
        <f t="shared" si="11"/>
        <v/>
      </c>
    </row>
    <row r="86" spans="2:37" ht="21" x14ac:dyDescent="0.35"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7" t="str">
        <f t="shared" si="8"/>
        <v/>
      </c>
      <c r="AE86" s="147" t="str">
        <f t="shared" si="9"/>
        <v/>
      </c>
      <c r="AF86" s="147"/>
      <c r="AG86" s="146"/>
      <c r="AH86" s="147"/>
      <c r="AI86" s="146"/>
      <c r="AJ86" s="145" t="str">
        <f t="shared" si="10"/>
        <v/>
      </c>
      <c r="AK86" s="145" t="str">
        <f t="shared" si="11"/>
        <v/>
      </c>
    </row>
    <row r="87" spans="2:37" ht="21" x14ac:dyDescent="0.35"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7" t="str">
        <f t="shared" si="8"/>
        <v/>
      </c>
      <c r="AE87" s="147" t="str">
        <f t="shared" si="9"/>
        <v/>
      </c>
      <c r="AF87" s="147"/>
      <c r="AG87" s="146"/>
      <c r="AH87" s="147"/>
      <c r="AI87" s="146"/>
      <c r="AJ87" s="145" t="str">
        <f t="shared" si="10"/>
        <v/>
      </c>
      <c r="AK87" s="145" t="str">
        <f t="shared" si="11"/>
        <v/>
      </c>
    </row>
    <row r="88" spans="2:37" ht="21" x14ac:dyDescent="0.35"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7" t="str">
        <f t="shared" si="8"/>
        <v/>
      </c>
      <c r="AE88" s="147" t="str">
        <f t="shared" si="9"/>
        <v/>
      </c>
      <c r="AF88" s="147"/>
      <c r="AG88" s="146"/>
      <c r="AH88" s="147"/>
      <c r="AI88" s="146"/>
      <c r="AJ88" s="145" t="str">
        <f t="shared" si="10"/>
        <v/>
      </c>
      <c r="AK88" s="145" t="str">
        <f t="shared" si="11"/>
        <v/>
      </c>
    </row>
    <row r="89" spans="2:37" ht="21" x14ac:dyDescent="0.35"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7" t="str">
        <f t="shared" si="8"/>
        <v/>
      </c>
      <c r="AE89" s="147" t="str">
        <f t="shared" si="9"/>
        <v/>
      </c>
      <c r="AF89" s="147"/>
      <c r="AG89" s="146"/>
      <c r="AH89" s="147"/>
      <c r="AI89" s="146"/>
      <c r="AJ89" s="145" t="str">
        <f t="shared" si="10"/>
        <v/>
      </c>
      <c r="AK89" s="145" t="str">
        <f t="shared" si="11"/>
        <v/>
      </c>
    </row>
    <row r="90" spans="2:37" ht="21" x14ac:dyDescent="0.35"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7" t="str">
        <f t="shared" si="8"/>
        <v/>
      </c>
      <c r="AE90" s="147" t="str">
        <f t="shared" si="9"/>
        <v/>
      </c>
      <c r="AF90" s="147"/>
      <c r="AG90" s="146"/>
      <c r="AH90" s="147"/>
      <c r="AI90" s="146"/>
      <c r="AJ90" s="145" t="str">
        <f t="shared" si="10"/>
        <v/>
      </c>
      <c r="AK90" s="145" t="str">
        <f t="shared" si="11"/>
        <v/>
      </c>
    </row>
    <row r="91" spans="2:37" ht="21" x14ac:dyDescent="0.35"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7" t="str">
        <f t="shared" si="8"/>
        <v/>
      </c>
      <c r="AE91" s="147" t="str">
        <f t="shared" si="9"/>
        <v/>
      </c>
      <c r="AF91" s="147"/>
      <c r="AG91" s="146"/>
      <c r="AH91" s="147"/>
      <c r="AI91" s="146"/>
      <c r="AJ91" s="145" t="str">
        <f t="shared" si="10"/>
        <v/>
      </c>
      <c r="AK91" s="145" t="str">
        <f t="shared" si="11"/>
        <v/>
      </c>
    </row>
    <row r="92" spans="2:37" ht="21" x14ac:dyDescent="0.35"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7" t="str">
        <f t="shared" si="8"/>
        <v/>
      </c>
      <c r="AE92" s="147" t="str">
        <f t="shared" si="9"/>
        <v/>
      </c>
      <c r="AF92" s="147"/>
      <c r="AG92" s="146"/>
      <c r="AH92" s="147"/>
      <c r="AI92" s="146"/>
      <c r="AJ92" s="145" t="str">
        <f t="shared" si="10"/>
        <v/>
      </c>
      <c r="AK92" s="145" t="str">
        <f t="shared" si="11"/>
        <v/>
      </c>
    </row>
    <row r="93" spans="2:37" ht="21" x14ac:dyDescent="0.35"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7" t="str">
        <f t="shared" si="8"/>
        <v/>
      </c>
      <c r="AE93" s="147" t="str">
        <f t="shared" si="9"/>
        <v/>
      </c>
      <c r="AF93" s="147"/>
      <c r="AG93" s="146"/>
      <c r="AH93" s="147"/>
      <c r="AI93" s="146"/>
      <c r="AJ93" s="145" t="str">
        <f t="shared" si="10"/>
        <v/>
      </c>
      <c r="AK93" s="145" t="str">
        <f t="shared" si="11"/>
        <v/>
      </c>
    </row>
    <row r="94" spans="2:37" ht="21" x14ac:dyDescent="0.35"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7" t="str">
        <f t="shared" si="8"/>
        <v/>
      </c>
      <c r="AE94" s="147" t="str">
        <f t="shared" si="9"/>
        <v/>
      </c>
      <c r="AF94" s="147"/>
      <c r="AG94" s="146"/>
      <c r="AH94" s="147"/>
      <c r="AI94" s="146"/>
      <c r="AJ94" s="145" t="str">
        <f t="shared" si="10"/>
        <v/>
      </c>
      <c r="AK94" s="145" t="str">
        <f t="shared" si="11"/>
        <v/>
      </c>
    </row>
    <row r="95" spans="2:37" ht="21" x14ac:dyDescent="0.35"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7" t="str">
        <f t="shared" si="8"/>
        <v/>
      </c>
      <c r="AE95" s="147" t="str">
        <f t="shared" si="9"/>
        <v/>
      </c>
      <c r="AF95" s="147"/>
      <c r="AG95" s="146"/>
      <c r="AH95" s="147"/>
      <c r="AI95" s="146"/>
      <c r="AJ95" s="145" t="str">
        <f t="shared" si="10"/>
        <v/>
      </c>
      <c r="AK95" s="145" t="str">
        <f t="shared" si="11"/>
        <v/>
      </c>
    </row>
    <row r="96" spans="2:37" ht="21" x14ac:dyDescent="0.35"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7" t="str">
        <f t="shared" si="8"/>
        <v/>
      </c>
      <c r="AE96" s="147" t="str">
        <f t="shared" si="9"/>
        <v/>
      </c>
      <c r="AF96" s="147"/>
      <c r="AG96" s="146"/>
      <c r="AH96" s="147"/>
      <c r="AI96" s="146"/>
      <c r="AJ96" s="145" t="str">
        <f t="shared" si="10"/>
        <v/>
      </c>
      <c r="AK96" s="145" t="str">
        <f t="shared" si="11"/>
        <v/>
      </c>
    </row>
    <row r="97" spans="2:37" ht="21" x14ac:dyDescent="0.35"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7" t="str">
        <f t="shared" si="8"/>
        <v/>
      </c>
      <c r="AE97" s="147" t="str">
        <f t="shared" si="9"/>
        <v/>
      </c>
      <c r="AF97" s="147"/>
      <c r="AG97" s="146"/>
      <c r="AH97" s="147"/>
      <c r="AI97" s="146"/>
      <c r="AJ97" s="145" t="str">
        <f t="shared" si="10"/>
        <v/>
      </c>
      <c r="AK97" s="145" t="str">
        <f t="shared" si="11"/>
        <v/>
      </c>
    </row>
    <row r="98" spans="2:37" ht="21" x14ac:dyDescent="0.35"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7" t="str">
        <f t="shared" si="8"/>
        <v/>
      </c>
      <c r="AE98" s="147" t="str">
        <f t="shared" si="9"/>
        <v/>
      </c>
      <c r="AF98" s="147"/>
      <c r="AG98" s="146"/>
      <c r="AH98" s="147"/>
      <c r="AI98" s="146"/>
      <c r="AJ98" s="145" t="str">
        <f t="shared" si="10"/>
        <v/>
      </c>
      <c r="AK98" s="145" t="str">
        <f t="shared" si="11"/>
        <v/>
      </c>
    </row>
    <row r="99" spans="2:37" ht="21" x14ac:dyDescent="0.35"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7" t="str">
        <f t="shared" si="8"/>
        <v/>
      </c>
      <c r="AE99" s="147" t="str">
        <f t="shared" si="9"/>
        <v/>
      </c>
      <c r="AF99" s="147"/>
      <c r="AG99" s="146"/>
      <c r="AH99" s="147"/>
      <c r="AI99" s="146"/>
      <c r="AJ99" s="145" t="str">
        <f t="shared" si="10"/>
        <v/>
      </c>
      <c r="AK99" s="145" t="str">
        <f t="shared" si="11"/>
        <v/>
      </c>
    </row>
    <row r="100" spans="2:37" ht="21" x14ac:dyDescent="0.35"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7" t="str">
        <f t="shared" si="8"/>
        <v/>
      </c>
      <c r="AE100" s="147" t="str">
        <f t="shared" si="9"/>
        <v/>
      </c>
      <c r="AF100" s="147"/>
      <c r="AG100" s="146"/>
      <c r="AH100" s="147"/>
      <c r="AI100" s="146"/>
      <c r="AJ100" s="145" t="str">
        <f t="shared" si="10"/>
        <v/>
      </c>
      <c r="AK100" s="145" t="str">
        <f t="shared" si="11"/>
        <v/>
      </c>
    </row>
    <row r="101" spans="2:37" ht="21" x14ac:dyDescent="0.35"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7" t="str">
        <f t="shared" si="8"/>
        <v/>
      </c>
      <c r="AE101" s="147" t="str">
        <f t="shared" si="9"/>
        <v/>
      </c>
      <c r="AF101" s="147"/>
      <c r="AG101" s="146"/>
      <c r="AH101" s="147"/>
      <c r="AI101" s="146"/>
      <c r="AJ101" s="145" t="str">
        <f t="shared" si="10"/>
        <v/>
      </c>
      <c r="AK101" s="145" t="str">
        <f t="shared" si="11"/>
        <v/>
      </c>
    </row>
    <row r="102" spans="2:37" ht="21" x14ac:dyDescent="0.35"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7" t="str">
        <f t="shared" si="8"/>
        <v/>
      </c>
      <c r="AE102" s="147" t="str">
        <f t="shared" si="9"/>
        <v/>
      </c>
      <c r="AF102" s="147"/>
      <c r="AG102" s="146"/>
      <c r="AH102" s="147"/>
      <c r="AI102" s="146"/>
      <c r="AJ102" s="145" t="str">
        <f t="shared" si="10"/>
        <v/>
      </c>
      <c r="AK102" s="145" t="str">
        <f t="shared" si="11"/>
        <v/>
      </c>
    </row>
    <row r="103" spans="2:37" ht="21" x14ac:dyDescent="0.35"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7" t="str">
        <f t="shared" si="8"/>
        <v/>
      </c>
      <c r="AE103" s="147" t="str">
        <f t="shared" si="9"/>
        <v/>
      </c>
      <c r="AF103" s="147"/>
      <c r="AG103" s="146"/>
      <c r="AH103" s="147"/>
      <c r="AI103" s="146"/>
      <c r="AJ103" s="145" t="str">
        <f t="shared" si="10"/>
        <v/>
      </c>
      <c r="AK103" s="145" t="str">
        <f t="shared" si="11"/>
        <v/>
      </c>
    </row>
    <row r="104" spans="2:37" ht="21" x14ac:dyDescent="0.35"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7" t="str">
        <f t="shared" si="8"/>
        <v/>
      </c>
      <c r="AE104" s="147" t="str">
        <f t="shared" si="9"/>
        <v/>
      </c>
      <c r="AF104" s="147"/>
      <c r="AG104" s="146"/>
      <c r="AH104" s="147"/>
      <c r="AI104" s="146"/>
      <c r="AJ104" s="145" t="str">
        <f t="shared" si="10"/>
        <v/>
      </c>
      <c r="AK104" s="145" t="str">
        <f t="shared" si="11"/>
        <v/>
      </c>
    </row>
    <row r="105" spans="2:37" ht="21" x14ac:dyDescent="0.35"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7" t="str">
        <f t="shared" si="8"/>
        <v/>
      </c>
      <c r="AE105" s="147" t="str">
        <f t="shared" si="9"/>
        <v/>
      </c>
      <c r="AF105" s="147"/>
      <c r="AG105" s="146"/>
      <c r="AH105" s="147"/>
      <c r="AI105" s="146"/>
      <c r="AJ105" s="145" t="str">
        <f t="shared" si="10"/>
        <v/>
      </c>
      <c r="AK105" s="145" t="str">
        <f t="shared" si="11"/>
        <v/>
      </c>
    </row>
    <row r="106" spans="2:37" ht="21" x14ac:dyDescent="0.35"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7" t="str">
        <f t="shared" si="8"/>
        <v/>
      </c>
      <c r="AE106" s="147" t="str">
        <f t="shared" si="9"/>
        <v/>
      </c>
      <c r="AF106" s="147"/>
      <c r="AG106" s="146"/>
      <c r="AH106" s="147"/>
      <c r="AI106" s="146"/>
      <c r="AJ106" s="145" t="str">
        <f t="shared" si="10"/>
        <v/>
      </c>
      <c r="AK106" s="145" t="str">
        <f t="shared" si="11"/>
        <v/>
      </c>
    </row>
    <row r="107" spans="2:37" ht="21" x14ac:dyDescent="0.35"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7" t="str">
        <f t="shared" si="8"/>
        <v/>
      </c>
      <c r="AE107" s="147" t="str">
        <f t="shared" si="9"/>
        <v/>
      </c>
      <c r="AF107" s="147"/>
      <c r="AG107" s="146"/>
      <c r="AH107" s="147"/>
      <c r="AI107" s="146"/>
      <c r="AJ107" s="145" t="str">
        <f t="shared" si="10"/>
        <v/>
      </c>
      <c r="AK107" s="145" t="str">
        <f t="shared" si="11"/>
        <v/>
      </c>
    </row>
    <row r="108" spans="2:37" ht="21" x14ac:dyDescent="0.35"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7" t="str">
        <f t="shared" si="8"/>
        <v/>
      </c>
      <c r="AE108" s="147" t="str">
        <f t="shared" si="9"/>
        <v/>
      </c>
      <c r="AF108" s="147"/>
      <c r="AG108" s="146"/>
      <c r="AH108" s="147"/>
      <c r="AI108" s="146"/>
      <c r="AJ108" s="145" t="str">
        <f t="shared" si="10"/>
        <v/>
      </c>
      <c r="AK108" s="145" t="str">
        <f t="shared" si="11"/>
        <v/>
      </c>
    </row>
    <row r="109" spans="2:37" ht="21" x14ac:dyDescent="0.35"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7" t="str">
        <f t="shared" si="8"/>
        <v/>
      </c>
      <c r="AE109" s="147" t="str">
        <f t="shared" si="9"/>
        <v/>
      </c>
      <c r="AF109" s="147"/>
      <c r="AG109" s="146"/>
      <c r="AH109" s="147"/>
      <c r="AI109" s="146"/>
      <c r="AJ109" s="145" t="str">
        <f t="shared" si="10"/>
        <v/>
      </c>
      <c r="AK109" s="145" t="str">
        <f t="shared" si="11"/>
        <v/>
      </c>
    </row>
    <row r="110" spans="2:37" ht="21" x14ac:dyDescent="0.35"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7" t="str">
        <f t="shared" si="8"/>
        <v/>
      </c>
      <c r="AE110" s="147" t="str">
        <f t="shared" si="9"/>
        <v/>
      </c>
      <c r="AF110" s="147"/>
      <c r="AG110" s="146"/>
      <c r="AH110" s="147"/>
      <c r="AI110" s="146"/>
      <c r="AJ110" s="145" t="str">
        <f t="shared" si="10"/>
        <v/>
      </c>
      <c r="AK110" s="145" t="str">
        <f t="shared" si="11"/>
        <v/>
      </c>
    </row>
    <row r="111" spans="2:37" ht="21" x14ac:dyDescent="0.35"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7" t="str">
        <f t="shared" si="8"/>
        <v/>
      </c>
      <c r="AE111" s="147" t="str">
        <f t="shared" si="9"/>
        <v/>
      </c>
      <c r="AF111" s="147"/>
      <c r="AG111" s="146"/>
      <c r="AH111" s="147"/>
      <c r="AI111" s="146"/>
      <c r="AJ111" s="145" t="str">
        <f t="shared" si="10"/>
        <v/>
      </c>
      <c r="AK111" s="145" t="str">
        <f t="shared" si="11"/>
        <v/>
      </c>
    </row>
    <row r="112" spans="2:37" ht="21" x14ac:dyDescent="0.35"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7" t="str">
        <f t="shared" si="8"/>
        <v/>
      </c>
      <c r="AE112" s="147" t="str">
        <f t="shared" si="9"/>
        <v/>
      </c>
      <c r="AF112" s="147"/>
      <c r="AG112" s="146"/>
      <c r="AH112" s="147"/>
      <c r="AI112" s="146"/>
      <c r="AJ112" s="145" t="str">
        <f t="shared" si="10"/>
        <v/>
      </c>
      <c r="AK112" s="145" t="str">
        <f t="shared" si="11"/>
        <v/>
      </c>
    </row>
    <row r="113" spans="2:37" ht="21" x14ac:dyDescent="0.35"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7" t="str">
        <f t="shared" si="8"/>
        <v/>
      </c>
      <c r="AE113" s="147" t="str">
        <f t="shared" si="9"/>
        <v/>
      </c>
      <c r="AF113" s="147"/>
      <c r="AG113" s="146"/>
      <c r="AH113" s="147"/>
      <c r="AI113" s="146"/>
      <c r="AJ113" s="145" t="str">
        <f t="shared" si="10"/>
        <v/>
      </c>
      <c r="AK113" s="145" t="str">
        <f t="shared" si="11"/>
        <v/>
      </c>
    </row>
    <row r="114" spans="2:37" ht="21" x14ac:dyDescent="0.35"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7" t="str">
        <f t="shared" si="8"/>
        <v/>
      </c>
      <c r="AE114" s="147" t="str">
        <f t="shared" si="9"/>
        <v/>
      </c>
      <c r="AF114" s="147"/>
      <c r="AG114" s="146"/>
      <c r="AH114" s="147"/>
      <c r="AI114" s="146"/>
      <c r="AJ114" s="145" t="str">
        <f t="shared" si="10"/>
        <v/>
      </c>
      <c r="AK114" s="145" t="str">
        <f t="shared" si="11"/>
        <v/>
      </c>
    </row>
    <row r="115" spans="2:37" ht="21" x14ac:dyDescent="0.35"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7" t="str">
        <f t="shared" si="8"/>
        <v/>
      </c>
      <c r="AE115" s="147" t="str">
        <f t="shared" si="9"/>
        <v/>
      </c>
      <c r="AF115" s="147"/>
      <c r="AG115" s="146"/>
      <c r="AH115" s="147"/>
      <c r="AI115" s="146"/>
      <c r="AJ115" s="145" t="str">
        <f t="shared" si="10"/>
        <v/>
      </c>
      <c r="AK115" s="145" t="str">
        <f t="shared" si="11"/>
        <v/>
      </c>
    </row>
    <row r="116" spans="2:37" ht="21" x14ac:dyDescent="0.35"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7" t="str">
        <f t="shared" si="8"/>
        <v/>
      </c>
      <c r="AE116" s="147" t="str">
        <f t="shared" si="9"/>
        <v/>
      </c>
      <c r="AF116" s="147"/>
      <c r="AG116" s="146"/>
      <c r="AH116" s="147"/>
      <c r="AI116" s="146"/>
      <c r="AJ116" s="145" t="str">
        <f t="shared" si="10"/>
        <v/>
      </c>
      <c r="AK116" s="145" t="str">
        <f t="shared" si="11"/>
        <v/>
      </c>
    </row>
    <row r="117" spans="2:37" ht="21" x14ac:dyDescent="0.35"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7" t="str">
        <f t="shared" si="8"/>
        <v/>
      </c>
      <c r="AE117" s="147" t="str">
        <f t="shared" si="9"/>
        <v/>
      </c>
      <c r="AF117" s="147"/>
      <c r="AG117" s="146"/>
      <c r="AH117" s="147"/>
      <c r="AI117" s="146"/>
      <c r="AJ117" s="145" t="str">
        <f t="shared" si="10"/>
        <v/>
      </c>
      <c r="AK117" s="145" t="str">
        <f t="shared" si="11"/>
        <v/>
      </c>
    </row>
    <row r="118" spans="2:37" ht="21" x14ac:dyDescent="0.35"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7" t="str">
        <f t="shared" si="8"/>
        <v/>
      </c>
      <c r="AE118" s="147" t="str">
        <f t="shared" si="9"/>
        <v/>
      </c>
      <c r="AF118" s="147"/>
      <c r="AG118" s="146"/>
      <c r="AH118" s="147"/>
      <c r="AI118" s="146"/>
      <c r="AJ118" s="145" t="str">
        <f t="shared" si="10"/>
        <v/>
      </c>
      <c r="AK118" s="145" t="str">
        <f t="shared" si="11"/>
        <v/>
      </c>
    </row>
    <row r="119" spans="2:37" ht="21" x14ac:dyDescent="0.35"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7" t="str">
        <f t="shared" si="8"/>
        <v/>
      </c>
      <c r="AE119" s="147" t="str">
        <f t="shared" si="9"/>
        <v/>
      </c>
      <c r="AF119" s="147"/>
      <c r="AG119" s="146"/>
      <c r="AH119" s="147"/>
      <c r="AI119" s="146"/>
      <c r="AJ119" s="145" t="str">
        <f t="shared" si="10"/>
        <v/>
      </c>
      <c r="AK119" s="145" t="str">
        <f t="shared" si="11"/>
        <v/>
      </c>
    </row>
    <row r="120" spans="2:37" ht="21" x14ac:dyDescent="0.35"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7" t="str">
        <f t="shared" si="8"/>
        <v/>
      </c>
      <c r="AE120" s="147" t="str">
        <f t="shared" si="9"/>
        <v/>
      </c>
      <c r="AF120" s="147"/>
      <c r="AG120" s="146"/>
      <c r="AH120" s="147"/>
      <c r="AI120" s="146"/>
      <c r="AJ120" s="145" t="str">
        <f t="shared" si="10"/>
        <v/>
      </c>
      <c r="AK120" s="145" t="str">
        <f t="shared" si="11"/>
        <v/>
      </c>
    </row>
    <row r="121" spans="2:37" ht="21" x14ac:dyDescent="0.35"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7" t="str">
        <f t="shared" si="8"/>
        <v/>
      </c>
      <c r="AE121" s="147" t="str">
        <f t="shared" si="9"/>
        <v/>
      </c>
      <c r="AF121" s="147"/>
      <c r="AG121" s="146"/>
      <c r="AH121" s="147"/>
      <c r="AI121" s="146"/>
      <c r="AJ121" s="145" t="str">
        <f t="shared" si="10"/>
        <v/>
      </c>
      <c r="AK121" s="145" t="str">
        <f t="shared" si="11"/>
        <v/>
      </c>
    </row>
    <row r="122" spans="2:37" ht="21" x14ac:dyDescent="0.35"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7" t="str">
        <f t="shared" si="8"/>
        <v/>
      </c>
      <c r="AE122" s="147" t="str">
        <f t="shared" si="9"/>
        <v/>
      </c>
      <c r="AF122" s="147"/>
      <c r="AG122" s="146"/>
      <c r="AH122" s="147"/>
      <c r="AI122" s="146"/>
      <c r="AJ122" s="145" t="str">
        <f t="shared" si="10"/>
        <v/>
      </c>
      <c r="AK122" s="145" t="str">
        <f t="shared" si="11"/>
        <v/>
      </c>
    </row>
    <row r="123" spans="2:37" ht="21" x14ac:dyDescent="0.35"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7" t="str">
        <f t="shared" si="8"/>
        <v/>
      </c>
      <c r="AE123" s="147" t="str">
        <f t="shared" si="9"/>
        <v/>
      </c>
      <c r="AF123" s="147"/>
      <c r="AG123" s="146"/>
      <c r="AH123" s="147"/>
      <c r="AI123" s="146"/>
      <c r="AJ123" s="145" t="str">
        <f t="shared" si="10"/>
        <v/>
      </c>
      <c r="AK123" s="145" t="str">
        <f t="shared" si="11"/>
        <v/>
      </c>
    </row>
    <row r="124" spans="2:37" ht="21" x14ac:dyDescent="0.35"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7" t="str">
        <f t="shared" si="8"/>
        <v/>
      </c>
      <c r="AE124" s="147" t="str">
        <f t="shared" si="9"/>
        <v/>
      </c>
      <c r="AF124" s="147"/>
      <c r="AG124" s="146"/>
      <c r="AH124" s="147"/>
      <c r="AI124" s="146"/>
      <c r="AJ124" s="145" t="str">
        <f t="shared" si="10"/>
        <v/>
      </c>
      <c r="AK124" s="145" t="str">
        <f t="shared" si="11"/>
        <v/>
      </c>
    </row>
    <row r="125" spans="2:37" ht="21" x14ac:dyDescent="0.35"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7" t="str">
        <f t="shared" si="8"/>
        <v/>
      </c>
      <c r="AE125" s="147" t="str">
        <f t="shared" si="9"/>
        <v/>
      </c>
      <c r="AF125" s="147"/>
      <c r="AG125" s="146"/>
      <c r="AH125" s="147"/>
      <c r="AI125" s="146"/>
      <c r="AJ125" s="145" t="str">
        <f t="shared" si="10"/>
        <v/>
      </c>
      <c r="AK125" s="145" t="str">
        <f t="shared" si="11"/>
        <v/>
      </c>
    </row>
    <row r="126" spans="2:37" ht="21" x14ac:dyDescent="0.35"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7" t="str">
        <f t="shared" si="8"/>
        <v/>
      </c>
      <c r="AE126" s="147" t="str">
        <f t="shared" si="9"/>
        <v/>
      </c>
      <c r="AF126" s="147"/>
      <c r="AG126" s="146"/>
      <c r="AH126" s="147"/>
      <c r="AI126" s="146"/>
      <c r="AJ126" s="145" t="str">
        <f t="shared" si="10"/>
        <v/>
      </c>
      <c r="AK126" s="145" t="str">
        <f t="shared" si="11"/>
        <v/>
      </c>
    </row>
    <row r="127" spans="2:37" ht="21" x14ac:dyDescent="0.35"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7" t="str">
        <f t="shared" si="8"/>
        <v/>
      </c>
      <c r="AE127" s="147" t="str">
        <f t="shared" si="9"/>
        <v/>
      </c>
      <c r="AF127" s="147"/>
      <c r="AG127" s="146"/>
      <c r="AH127" s="147"/>
      <c r="AI127" s="146"/>
      <c r="AJ127" s="145" t="str">
        <f t="shared" si="10"/>
        <v/>
      </c>
      <c r="AK127" s="145" t="str">
        <f t="shared" si="11"/>
        <v/>
      </c>
    </row>
    <row r="128" spans="2:37" ht="21" x14ac:dyDescent="0.35"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7" t="str">
        <f t="shared" si="8"/>
        <v/>
      </c>
      <c r="AE128" s="147" t="str">
        <f t="shared" si="9"/>
        <v/>
      </c>
      <c r="AF128" s="147"/>
      <c r="AG128" s="146"/>
      <c r="AH128" s="147"/>
      <c r="AI128" s="146"/>
      <c r="AJ128" s="145" t="str">
        <f t="shared" si="10"/>
        <v/>
      </c>
      <c r="AK128" s="145" t="str">
        <f t="shared" si="11"/>
        <v/>
      </c>
    </row>
    <row r="129" spans="2:37" ht="21" x14ac:dyDescent="0.35"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7" t="str">
        <f t="shared" si="8"/>
        <v/>
      </c>
      <c r="AE129" s="147" t="str">
        <f t="shared" si="9"/>
        <v/>
      </c>
      <c r="AF129" s="147"/>
      <c r="AG129" s="146"/>
      <c r="AH129" s="147"/>
      <c r="AI129" s="146"/>
      <c r="AJ129" s="145" t="str">
        <f t="shared" si="10"/>
        <v/>
      </c>
      <c r="AK129" s="145" t="str">
        <f t="shared" si="11"/>
        <v/>
      </c>
    </row>
    <row r="130" spans="2:37" ht="21" x14ac:dyDescent="0.35"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7" t="str">
        <f t="shared" si="8"/>
        <v/>
      </c>
      <c r="AE130" s="147" t="str">
        <f t="shared" si="9"/>
        <v/>
      </c>
      <c r="AF130" s="147"/>
      <c r="AG130" s="146"/>
      <c r="AH130" s="147"/>
      <c r="AI130" s="146"/>
      <c r="AJ130" s="145" t="str">
        <f t="shared" si="10"/>
        <v/>
      </c>
      <c r="AK130" s="145" t="str">
        <f t="shared" si="11"/>
        <v/>
      </c>
    </row>
    <row r="131" spans="2:37" ht="21" x14ac:dyDescent="0.35"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7" t="str">
        <f t="shared" si="8"/>
        <v/>
      </c>
      <c r="AE131" s="147" t="str">
        <f t="shared" si="9"/>
        <v/>
      </c>
      <c r="AF131" s="147"/>
      <c r="AG131" s="146"/>
      <c r="AH131" s="147"/>
      <c r="AI131" s="146"/>
      <c r="AJ131" s="145" t="str">
        <f t="shared" si="10"/>
        <v/>
      </c>
      <c r="AK131" s="145" t="str">
        <f t="shared" si="11"/>
        <v/>
      </c>
    </row>
    <row r="132" spans="2:37" ht="21" x14ac:dyDescent="0.35"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7" t="str">
        <f t="shared" ref="AD132:AD195" si="12">IF(MIN(F132,J132,N132,R132,V132,Z132)&lt;&gt;0,MIN(F132,J132,N132,R132,V132,Z132),"")</f>
        <v/>
      </c>
      <c r="AE132" s="147" t="str">
        <f t="shared" ref="AE132:AE195" si="13">IF(MIN(H132,L132,P132,T132,X132,AB132)&lt;&gt;0,MIN(H132,L132,P132,T132,X132,AB132),"")</f>
        <v/>
      </c>
      <c r="AF132" s="147"/>
      <c r="AG132" s="146"/>
      <c r="AH132" s="147"/>
      <c r="AI132" s="146"/>
      <c r="AJ132" s="145" t="str">
        <f t="shared" ref="AJ132:AJ195" si="14">IF(AD132="","",IF(ISBLANK(AF132),"En cours",AD132+AF132))</f>
        <v/>
      </c>
      <c r="AK132" s="145" t="str">
        <f t="shared" ref="AK132:AK195" si="15">IF(AE132="","",IF(ISBLANK(AH132),"En cours",AE132+AH132))</f>
        <v/>
      </c>
    </row>
    <row r="133" spans="2:37" ht="21" x14ac:dyDescent="0.35"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7" t="str">
        <f t="shared" si="12"/>
        <v/>
      </c>
      <c r="AE133" s="147" t="str">
        <f t="shared" si="13"/>
        <v/>
      </c>
      <c r="AF133" s="147"/>
      <c r="AG133" s="146"/>
      <c r="AH133" s="147"/>
      <c r="AI133" s="146"/>
      <c r="AJ133" s="145" t="str">
        <f t="shared" si="14"/>
        <v/>
      </c>
      <c r="AK133" s="145" t="str">
        <f t="shared" si="15"/>
        <v/>
      </c>
    </row>
    <row r="134" spans="2:37" ht="21" x14ac:dyDescent="0.35"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7" t="str">
        <f t="shared" si="12"/>
        <v/>
      </c>
      <c r="AE134" s="147" t="str">
        <f t="shared" si="13"/>
        <v/>
      </c>
      <c r="AF134" s="147"/>
      <c r="AG134" s="146"/>
      <c r="AH134" s="147"/>
      <c r="AI134" s="146"/>
      <c r="AJ134" s="145" t="str">
        <f t="shared" si="14"/>
        <v/>
      </c>
      <c r="AK134" s="145" t="str">
        <f t="shared" si="15"/>
        <v/>
      </c>
    </row>
    <row r="135" spans="2:37" ht="21" x14ac:dyDescent="0.35"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7" t="str">
        <f t="shared" si="12"/>
        <v/>
      </c>
      <c r="AE135" s="147" t="str">
        <f t="shared" si="13"/>
        <v/>
      </c>
      <c r="AF135" s="147"/>
      <c r="AG135" s="146"/>
      <c r="AH135" s="147"/>
      <c r="AI135" s="146"/>
      <c r="AJ135" s="145" t="str">
        <f t="shared" si="14"/>
        <v/>
      </c>
      <c r="AK135" s="145" t="str">
        <f t="shared" si="15"/>
        <v/>
      </c>
    </row>
    <row r="136" spans="2:37" ht="21" x14ac:dyDescent="0.35"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7" t="str">
        <f t="shared" si="12"/>
        <v/>
      </c>
      <c r="AE136" s="147" t="str">
        <f t="shared" si="13"/>
        <v/>
      </c>
      <c r="AF136" s="147"/>
      <c r="AG136" s="146"/>
      <c r="AH136" s="147"/>
      <c r="AI136" s="146"/>
      <c r="AJ136" s="145" t="str">
        <f t="shared" si="14"/>
        <v/>
      </c>
      <c r="AK136" s="145" t="str">
        <f t="shared" si="15"/>
        <v/>
      </c>
    </row>
    <row r="137" spans="2:37" ht="21" x14ac:dyDescent="0.35"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7" t="str">
        <f t="shared" si="12"/>
        <v/>
      </c>
      <c r="AE137" s="147" t="str">
        <f t="shared" si="13"/>
        <v/>
      </c>
      <c r="AF137" s="147"/>
      <c r="AG137" s="146"/>
      <c r="AH137" s="147"/>
      <c r="AI137" s="146"/>
      <c r="AJ137" s="145" t="str">
        <f t="shared" si="14"/>
        <v/>
      </c>
      <c r="AK137" s="145" t="str">
        <f t="shared" si="15"/>
        <v/>
      </c>
    </row>
    <row r="138" spans="2:37" ht="21" x14ac:dyDescent="0.35"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7" t="str">
        <f t="shared" si="12"/>
        <v/>
      </c>
      <c r="AE138" s="147" t="str">
        <f t="shared" si="13"/>
        <v/>
      </c>
      <c r="AF138" s="147"/>
      <c r="AG138" s="146"/>
      <c r="AH138" s="147"/>
      <c r="AI138" s="146"/>
      <c r="AJ138" s="145" t="str">
        <f t="shared" si="14"/>
        <v/>
      </c>
      <c r="AK138" s="145" t="str">
        <f t="shared" si="15"/>
        <v/>
      </c>
    </row>
    <row r="139" spans="2:37" ht="21" x14ac:dyDescent="0.35"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7" t="str">
        <f t="shared" si="12"/>
        <v/>
      </c>
      <c r="AE139" s="147" t="str">
        <f t="shared" si="13"/>
        <v/>
      </c>
      <c r="AF139" s="147"/>
      <c r="AG139" s="146"/>
      <c r="AH139" s="147"/>
      <c r="AI139" s="146"/>
      <c r="AJ139" s="145" t="str">
        <f t="shared" si="14"/>
        <v/>
      </c>
      <c r="AK139" s="145" t="str">
        <f t="shared" si="15"/>
        <v/>
      </c>
    </row>
    <row r="140" spans="2:37" ht="21" x14ac:dyDescent="0.35"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7" t="str">
        <f t="shared" si="12"/>
        <v/>
      </c>
      <c r="AE140" s="147" t="str">
        <f t="shared" si="13"/>
        <v/>
      </c>
      <c r="AF140" s="147"/>
      <c r="AG140" s="146"/>
      <c r="AH140" s="147"/>
      <c r="AI140" s="146"/>
      <c r="AJ140" s="145" t="str">
        <f t="shared" si="14"/>
        <v/>
      </c>
      <c r="AK140" s="145" t="str">
        <f t="shared" si="15"/>
        <v/>
      </c>
    </row>
    <row r="141" spans="2:37" ht="21" x14ac:dyDescent="0.35"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7" t="str">
        <f t="shared" si="12"/>
        <v/>
      </c>
      <c r="AE141" s="147" t="str">
        <f t="shared" si="13"/>
        <v/>
      </c>
      <c r="AF141" s="147"/>
      <c r="AG141" s="146"/>
      <c r="AH141" s="147"/>
      <c r="AI141" s="146"/>
      <c r="AJ141" s="145" t="str">
        <f t="shared" si="14"/>
        <v/>
      </c>
      <c r="AK141" s="145" t="str">
        <f t="shared" si="15"/>
        <v/>
      </c>
    </row>
    <row r="142" spans="2:37" ht="21" x14ac:dyDescent="0.35"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7" t="str">
        <f t="shared" si="12"/>
        <v/>
      </c>
      <c r="AE142" s="147" t="str">
        <f t="shared" si="13"/>
        <v/>
      </c>
      <c r="AF142" s="147"/>
      <c r="AG142" s="146"/>
      <c r="AH142" s="147"/>
      <c r="AI142" s="146"/>
      <c r="AJ142" s="145" t="str">
        <f t="shared" si="14"/>
        <v/>
      </c>
      <c r="AK142" s="145" t="str">
        <f t="shared" si="15"/>
        <v/>
      </c>
    </row>
    <row r="143" spans="2:37" ht="21" x14ac:dyDescent="0.35"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7" t="str">
        <f t="shared" si="12"/>
        <v/>
      </c>
      <c r="AE143" s="147" t="str">
        <f t="shared" si="13"/>
        <v/>
      </c>
      <c r="AF143" s="147"/>
      <c r="AG143" s="146"/>
      <c r="AH143" s="147"/>
      <c r="AI143" s="146"/>
      <c r="AJ143" s="145" t="str">
        <f t="shared" si="14"/>
        <v/>
      </c>
      <c r="AK143" s="145" t="str">
        <f t="shared" si="15"/>
        <v/>
      </c>
    </row>
    <row r="144" spans="2:37" ht="21" x14ac:dyDescent="0.35"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7" t="str">
        <f t="shared" si="12"/>
        <v/>
      </c>
      <c r="AE144" s="147" t="str">
        <f t="shared" si="13"/>
        <v/>
      </c>
      <c r="AF144" s="147"/>
      <c r="AG144" s="146"/>
      <c r="AH144" s="147"/>
      <c r="AI144" s="146"/>
      <c r="AJ144" s="145" t="str">
        <f t="shared" si="14"/>
        <v/>
      </c>
      <c r="AK144" s="145" t="str">
        <f t="shared" si="15"/>
        <v/>
      </c>
    </row>
    <row r="145" spans="2:37" ht="21" x14ac:dyDescent="0.35"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7" t="str">
        <f t="shared" si="12"/>
        <v/>
      </c>
      <c r="AE145" s="147" t="str">
        <f t="shared" si="13"/>
        <v/>
      </c>
      <c r="AF145" s="147"/>
      <c r="AG145" s="146"/>
      <c r="AH145" s="147"/>
      <c r="AI145" s="146"/>
      <c r="AJ145" s="145" t="str">
        <f t="shared" si="14"/>
        <v/>
      </c>
      <c r="AK145" s="145" t="str">
        <f t="shared" si="15"/>
        <v/>
      </c>
    </row>
    <row r="146" spans="2:37" ht="21" x14ac:dyDescent="0.35"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7" t="str">
        <f t="shared" si="12"/>
        <v/>
      </c>
      <c r="AE146" s="147" t="str">
        <f t="shared" si="13"/>
        <v/>
      </c>
      <c r="AF146" s="147"/>
      <c r="AG146" s="146"/>
      <c r="AH146" s="147"/>
      <c r="AI146" s="146"/>
      <c r="AJ146" s="145" t="str">
        <f t="shared" si="14"/>
        <v/>
      </c>
      <c r="AK146" s="145" t="str">
        <f t="shared" si="15"/>
        <v/>
      </c>
    </row>
    <row r="147" spans="2:37" ht="21" x14ac:dyDescent="0.35"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7" t="str">
        <f t="shared" si="12"/>
        <v/>
      </c>
      <c r="AE147" s="147" t="str">
        <f t="shared" si="13"/>
        <v/>
      </c>
      <c r="AF147" s="147"/>
      <c r="AG147" s="146"/>
      <c r="AH147" s="147"/>
      <c r="AI147" s="146"/>
      <c r="AJ147" s="145" t="str">
        <f t="shared" si="14"/>
        <v/>
      </c>
      <c r="AK147" s="145" t="str">
        <f t="shared" si="15"/>
        <v/>
      </c>
    </row>
    <row r="148" spans="2:37" ht="21" x14ac:dyDescent="0.35"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7" t="str">
        <f t="shared" si="12"/>
        <v/>
      </c>
      <c r="AE148" s="147" t="str">
        <f t="shared" si="13"/>
        <v/>
      </c>
      <c r="AF148" s="147"/>
      <c r="AG148" s="146"/>
      <c r="AH148" s="147"/>
      <c r="AI148" s="146"/>
      <c r="AJ148" s="145" t="str">
        <f t="shared" si="14"/>
        <v/>
      </c>
      <c r="AK148" s="145" t="str">
        <f t="shared" si="15"/>
        <v/>
      </c>
    </row>
    <row r="149" spans="2:37" ht="21" x14ac:dyDescent="0.35"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7" t="str">
        <f t="shared" si="12"/>
        <v/>
      </c>
      <c r="AE149" s="147" t="str">
        <f t="shared" si="13"/>
        <v/>
      </c>
      <c r="AF149" s="147"/>
      <c r="AG149" s="146"/>
      <c r="AH149" s="147"/>
      <c r="AI149" s="146"/>
      <c r="AJ149" s="145" t="str">
        <f t="shared" si="14"/>
        <v/>
      </c>
      <c r="AK149" s="145" t="str">
        <f t="shared" si="15"/>
        <v/>
      </c>
    </row>
    <row r="150" spans="2:37" ht="21" x14ac:dyDescent="0.35"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7" t="str">
        <f t="shared" si="12"/>
        <v/>
      </c>
      <c r="AE150" s="147" t="str">
        <f t="shared" si="13"/>
        <v/>
      </c>
      <c r="AF150" s="147"/>
      <c r="AG150" s="146"/>
      <c r="AH150" s="147"/>
      <c r="AI150" s="146"/>
      <c r="AJ150" s="145" t="str">
        <f t="shared" si="14"/>
        <v/>
      </c>
      <c r="AK150" s="145" t="str">
        <f t="shared" si="15"/>
        <v/>
      </c>
    </row>
    <row r="151" spans="2:37" ht="21" x14ac:dyDescent="0.35"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7" t="str">
        <f t="shared" si="12"/>
        <v/>
      </c>
      <c r="AE151" s="147" t="str">
        <f t="shared" si="13"/>
        <v/>
      </c>
      <c r="AF151" s="147"/>
      <c r="AG151" s="146"/>
      <c r="AH151" s="147"/>
      <c r="AI151" s="146"/>
      <c r="AJ151" s="145" t="str">
        <f t="shared" si="14"/>
        <v/>
      </c>
      <c r="AK151" s="145" t="str">
        <f t="shared" si="15"/>
        <v/>
      </c>
    </row>
    <row r="152" spans="2:37" ht="21" x14ac:dyDescent="0.35"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7" t="str">
        <f t="shared" si="12"/>
        <v/>
      </c>
      <c r="AE152" s="147" t="str">
        <f t="shared" si="13"/>
        <v/>
      </c>
      <c r="AF152" s="147"/>
      <c r="AG152" s="146"/>
      <c r="AH152" s="147"/>
      <c r="AI152" s="146"/>
      <c r="AJ152" s="145" t="str">
        <f t="shared" si="14"/>
        <v/>
      </c>
      <c r="AK152" s="145" t="str">
        <f t="shared" si="15"/>
        <v/>
      </c>
    </row>
    <row r="153" spans="2:37" ht="21" x14ac:dyDescent="0.35"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7" t="str">
        <f t="shared" si="12"/>
        <v/>
      </c>
      <c r="AE153" s="147" t="str">
        <f t="shared" si="13"/>
        <v/>
      </c>
      <c r="AF153" s="147"/>
      <c r="AG153" s="146"/>
      <c r="AH153" s="147"/>
      <c r="AI153" s="146"/>
      <c r="AJ153" s="145" t="str">
        <f t="shared" si="14"/>
        <v/>
      </c>
      <c r="AK153" s="145" t="str">
        <f t="shared" si="15"/>
        <v/>
      </c>
    </row>
    <row r="154" spans="2:37" ht="21" x14ac:dyDescent="0.35"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7" t="str">
        <f t="shared" si="12"/>
        <v/>
      </c>
      <c r="AE154" s="147" t="str">
        <f t="shared" si="13"/>
        <v/>
      </c>
      <c r="AF154" s="147"/>
      <c r="AG154" s="146"/>
      <c r="AH154" s="147"/>
      <c r="AI154" s="146"/>
      <c r="AJ154" s="145" t="str">
        <f t="shared" si="14"/>
        <v/>
      </c>
      <c r="AK154" s="145" t="str">
        <f t="shared" si="15"/>
        <v/>
      </c>
    </row>
    <row r="155" spans="2:37" ht="21" x14ac:dyDescent="0.35"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7" t="str">
        <f t="shared" si="12"/>
        <v/>
      </c>
      <c r="AE155" s="147" t="str">
        <f t="shared" si="13"/>
        <v/>
      </c>
      <c r="AF155" s="147"/>
      <c r="AG155" s="146"/>
      <c r="AH155" s="147"/>
      <c r="AI155" s="146"/>
      <c r="AJ155" s="145" t="str">
        <f t="shared" si="14"/>
        <v/>
      </c>
      <c r="AK155" s="145" t="str">
        <f t="shared" si="15"/>
        <v/>
      </c>
    </row>
    <row r="156" spans="2:37" ht="21" x14ac:dyDescent="0.35"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7" t="str">
        <f t="shared" si="12"/>
        <v/>
      </c>
      <c r="AE156" s="147" t="str">
        <f t="shared" si="13"/>
        <v/>
      </c>
      <c r="AF156" s="147"/>
      <c r="AG156" s="146"/>
      <c r="AH156" s="147"/>
      <c r="AI156" s="146"/>
      <c r="AJ156" s="145" t="str">
        <f t="shared" si="14"/>
        <v/>
      </c>
      <c r="AK156" s="145" t="str">
        <f t="shared" si="15"/>
        <v/>
      </c>
    </row>
    <row r="157" spans="2:37" ht="21" x14ac:dyDescent="0.35"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7" t="str">
        <f t="shared" si="12"/>
        <v/>
      </c>
      <c r="AE157" s="147" t="str">
        <f t="shared" si="13"/>
        <v/>
      </c>
      <c r="AF157" s="147"/>
      <c r="AG157" s="146"/>
      <c r="AH157" s="147"/>
      <c r="AI157" s="146"/>
      <c r="AJ157" s="145" t="str">
        <f t="shared" si="14"/>
        <v/>
      </c>
      <c r="AK157" s="145" t="str">
        <f t="shared" si="15"/>
        <v/>
      </c>
    </row>
    <row r="158" spans="2:37" ht="21" x14ac:dyDescent="0.35"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7" t="str">
        <f t="shared" si="12"/>
        <v/>
      </c>
      <c r="AE158" s="147" t="str">
        <f t="shared" si="13"/>
        <v/>
      </c>
      <c r="AF158" s="147"/>
      <c r="AG158" s="146"/>
      <c r="AH158" s="147"/>
      <c r="AI158" s="146"/>
      <c r="AJ158" s="145" t="str">
        <f t="shared" si="14"/>
        <v/>
      </c>
      <c r="AK158" s="145" t="str">
        <f t="shared" si="15"/>
        <v/>
      </c>
    </row>
    <row r="159" spans="2:37" ht="21" x14ac:dyDescent="0.35"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7" t="str">
        <f t="shared" si="12"/>
        <v/>
      </c>
      <c r="AE159" s="147" t="str">
        <f t="shared" si="13"/>
        <v/>
      </c>
      <c r="AF159" s="147"/>
      <c r="AG159" s="146"/>
      <c r="AH159" s="147"/>
      <c r="AI159" s="146"/>
      <c r="AJ159" s="145" t="str">
        <f t="shared" si="14"/>
        <v/>
      </c>
      <c r="AK159" s="145" t="str">
        <f t="shared" si="15"/>
        <v/>
      </c>
    </row>
    <row r="160" spans="2:37" ht="21" x14ac:dyDescent="0.35"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7" t="str">
        <f t="shared" si="12"/>
        <v/>
      </c>
      <c r="AE160" s="147" t="str">
        <f t="shared" si="13"/>
        <v/>
      </c>
      <c r="AF160" s="147"/>
      <c r="AG160" s="146"/>
      <c r="AH160" s="147"/>
      <c r="AI160" s="146"/>
      <c r="AJ160" s="145" t="str">
        <f t="shared" si="14"/>
        <v/>
      </c>
      <c r="AK160" s="145" t="str">
        <f t="shared" si="15"/>
        <v/>
      </c>
    </row>
    <row r="161" spans="2:37" ht="21" x14ac:dyDescent="0.35"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7" t="str">
        <f t="shared" si="12"/>
        <v/>
      </c>
      <c r="AE161" s="147" t="str">
        <f t="shared" si="13"/>
        <v/>
      </c>
      <c r="AF161" s="147"/>
      <c r="AG161" s="146"/>
      <c r="AH161" s="147"/>
      <c r="AI161" s="146"/>
      <c r="AJ161" s="145" t="str">
        <f t="shared" si="14"/>
        <v/>
      </c>
      <c r="AK161" s="145" t="str">
        <f t="shared" si="15"/>
        <v/>
      </c>
    </row>
    <row r="162" spans="2:37" ht="21" x14ac:dyDescent="0.35"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7" t="str">
        <f t="shared" si="12"/>
        <v/>
      </c>
      <c r="AE162" s="147" t="str">
        <f t="shared" si="13"/>
        <v/>
      </c>
      <c r="AF162" s="147"/>
      <c r="AG162" s="146"/>
      <c r="AH162" s="147"/>
      <c r="AI162" s="146"/>
      <c r="AJ162" s="145" t="str">
        <f t="shared" si="14"/>
        <v/>
      </c>
      <c r="AK162" s="145" t="str">
        <f t="shared" si="15"/>
        <v/>
      </c>
    </row>
    <row r="163" spans="2:37" ht="21" x14ac:dyDescent="0.35"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7" t="str">
        <f t="shared" si="12"/>
        <v/>
      </c>
      <c r="AE163" s="147" t="str">
        <f t="shared" si="13"/>
        <v/>
      </c>
      <c r="AF163" s="147"/>
      <c r="AG163" s="146"/>
      <c r="AH163" s="147"/>
      <c r="AI163" s="146"/>
      <c r="AJ163" s="145" t="str">
        <f t="shared" si="14"/>
        <v/>
      </c>
      <c r="AK163" s="145" t="str">
        <f t="shared" si="15"/>
        <v/>
      </c>
    </row>
    <row r="164" spans="2:37" ht="21" x14ac:dyDescent="0.35"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7" t="str">
        <f t="shared" si="12"/>
        <v/>
      </c>
      <c r="AE164" s="147" t="str">
        <f t="shared" si="13"/>
        <v/>
      </c>
      <c r="AF164" s="147"/>
      <c r="AG164" s="146"/>
      <c r="AH164" s="147"/>
      <c r="AI164" s="146"/>
      <c r="AJ164" s="145" t="str">
        <f t="shared" si="14"/>
        <v/>
      </c>
      <c r="AK164" s="145" t="str">
        <f t="shared" si="15"/>
        <v/>
      </c>
    </row>
    <row r="165" spans="2:37" ht="21" x14ac:dyDescent="0.35"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7" t="str">
        <f t="shared" si="12"/>
        <v/>
      </c>
      <c r="AE165" s="147" t="str">
        <f t="shared" si="13"/>
        <v/>
      </c>
      <c r="AF165" s="147"/>
      <c r="AG165" s="146"/>
      <c r="AH165" s="147"/>
      <c r="AI165" s="146"/>
      <c r="AJ165" s="145" t="str">
        <f t="shared" si="14"/>
        <v/>
      </c>
      <c r="AK165" s="145" t="str">
        <f t="shared" si="15"/>
        <v/>
      </c>
    </row>
    <row r="166" spans="2:37" ht="21" x14ac:dyDescent="0.35"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7" t="str">
        <f t="shared" si="12"/>
        <v/>
      </c>
      <c r="AE166" s="147" t="str">
        <f t="shared" si="13"/>
        <v/>
      </c>
      <c r="AF166" s="147"/>
      <c r="AG166" s="146"/>
      <c r="AH166" s="147"/>
      <c r="AI166" s="146"/>
      <c r="AJ166" s="145" t="str">
        <f t="shared" si="14"/>
        <v/>
      </c>
      <c r="AK166" s="145" t="str">
        <f t="shared" si="15"/>
        <v/>
      </c>
    </row>
    <row r="167" spans="2:37" ht="21" x14ac:dyDescent="0.35"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7" t="str">
        <f t="shared" si="12"/>
        <v/>
      </c>
      <c r="AE167" s="147" t="str">
        <f t="shared" si="13"/>
        <v/>
      </c>
      <c r="AF167" s="147"/>
      <c r="AG167" s="146"/>
      <c r="AH167" s="147"/>
      <c r="AI167" s="146"/>
      <c r="AJ167" s="145" t="str">
        <f t="shared" si="14"/>
        <v/>
      </c>
      <c r="AK167" s="145" t="str">
        <f t="shared" si="15"/>
        <v/>
      </c>
    </row>
    <row r="168" spans="2:37" ht="21" x14ac:dyDescent="0.35"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7" t="str">
        <f t="shared" si="12"/>
        <v/>
      </c>
      <c r="AE168" s="147" t="str">
        <f t="shared" si="13"/>
        <v/>
      </c>
      <c r="AF168" s="147"/>
      <c r="AG168" s="146"/>
      <c r="AH168" s="147"/>
      <c r="AI168" s="146"/>
      <c r="AJ168" s="145" t="str">
        <f t="shared" si="14"/>
        <v/>
      </c>
      <c r="AK168" s="145" t="str">
        <f t="shared" si="15"/>
        <v/>
      </c>
    </row>
    <row r="169" spans="2:37" ht="21" x14ac:dyDescent="0.35"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7" t="str">
        <f t="shared" si="12"/>
        <v/>
      </c>
      <c r="AE169" s="147" t="str">
        <f t="shared" si="13"/>
        <v/>
      </c>
      <c r="AF169" s="147"/>
      <c r="AG169" s="146"/>
      <c r="AH169" s="147"/>
      <c r="AI169" s="146"/>
      <c r="AJ169" s="145" t="str">
        <f t="shared" si="14"/>
        <v/>
      </c>
      <c r="AK169" s="145" t="str">
        <f t="shared" si="15"/>
        <v/>
      </c>
    </row>
    <row r="170" spans="2:37" ht="21" x14ac:dyDescent="0.35"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7" t="str">
        <f t="shared" si="12"/>
        <v/>
      </c>
      <c r="AE170" s="147" t="str">
        <f t="shared" si="13"/>
        <v/>
      </c>
      <c r="AF170" s="147"/>
      <c r="AG170" s="146"/>
      <c r="AH170" s="147"/>
      <c r="AI170" s="146"/>
      <c r="AJ170" s="145" t="str">
        <f t="shared" si="14"/>
        <v/>
      </c>
      <c r="AK170" s="145" t="str">
        <f t="shared" si="15"/>
        <v/>
      </c>
    </row>
    <row r="171" spans="2:37" ht="21" x14ac:dyDescent="0.35"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7" t="str">
        <f t="shared" si="12"/>
        <v/>
      </c>
      <c r="AE171" s="147" t="str">
        <f t="shared" si="13"/>
        <v/>
      </c>
      <c r="AF171" s="147"/>
      <c r="AG171" s="146"/>
      <c r="AH171" s="147"/>
      <c r="AI171" s="146"/>
      <c r="AJ171" s="145" t="str">
        <f t="shared" si="14"/>
        <v/>
      </c>
      <c r="AK171" s="145" t="str">
        <f t="shared" si="15"/>
        <v/>
      </c>
    </row>
    <row r="172" spans="2:37" ht="21" x14ac:dyDescent="0.35"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7" t="str">
        <f t="shared" si="12"/>
        <v/>
      </c>
      <c r="AE172" s="147" t="str">
        <f t="shared" si="13"/>
        <v/>
      </c>
      <c r="AF172" s="147"/>
      <c r="AG172" s="146"/>
      <c r="AH172" s="147"/>
      <c r="AI172" s="146"/>
      <c r="AJ172" s="145" t="str">
        <f t="shared" si="14"/>
        <v/>
      </c>
      <c r="AK172" s="145" t="str">
        <f t="shared" si="15"/>
        <v/>
      </c>
    </row>
    <row r="173" spans="2:37" ht="21" x14ac:dyDescent="0.35"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7" t="str">
        <f t="shared" si="12"/>
        <v/>
      </c>
      <c r="AE173" s="147" t="str">
        <f t="shared" si="13"/>
        <v/>
      </c>
      <c r="AF173" s="147"/>
      <c r="AG173" s="146"/>
      <c r="AH173" s="147"/>
      <c r="AI173" s="146"/>
      <c r="AJ173" s="145" t="str">
        <f t="shared" si="14"/>
        <v/>
      </c>
      <c r="AK173" s="145" t="str">
        <f t="shared" si="15"/>
        <v/>
      </c>
    </row>
    <row r="174" spans="2:37" ht="21" x14ac:dyDescent="0.35"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7" t="str">
        <f t="shared" si="12"/>
        <v/>
      </c>
      <c r="AE174" s="147" t="str">
        <f t="shared" si="13"/>
        <v/>
      </c>
      <c r="AF174" s="147"/>
      <c r="AG174" s="146"/>
      <c r="AH174" s="147"/>
      <c r="AI174" s="146"/>
      <c r="AJ174" s="145" t="str">
        <f t="shared" si="14"/>
        <v/>
      </c>
      <c r="AK174" s="145" t="str">
        <f t="shared" si="15"/>
        <v/>
      </c>
    </row>
    <row r="175" spans="2:37" ht="21" x14ac:dyDescent="0.35"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7" t="str">
        <f t="shared" si="12"/>
        <v/>
      </c>
      <c r="AE175" s="147" t="str">
        <f t="shared" si="13"/>
        <v/>
      </c>
      <c r="AF175" s="147"/>
      <c r="AG175" s="146"/>
      <c r="AH175" s="147"/>
      <c r="AI175" s="146"/>
      <c r="AJ175" s="145" t="str">
        <f t="shared" si="14"/>
        <v/>
      </c>
      <c r="AK175" s="145" t="str">
        <f t="shared" si="15"/>
        <v/>
      </c>
    </row>
    <row r="176" spans="2:37" ht="21" x14ac:dyDescent="0.35">
      <c r="B176" s="134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6" t="str">
        <f t="shared" si="12"/>
        <v/>
      </c>
      <c r="AE176" s="136" t="str">
        <f t="shared" si="13"/>
        <v/>
      </c>
      <c r="AF176" s="136"/>
      <c r="AG176" s="135"/>
      <c r="AH176" s="136"/>
      <c r="AI176" s="135"/>
      <c r="AJ176" s="137" t="str">
        <f t="shared" si="14"/>
        <v/>
      </c>
      <c r="AK176" s="138" t="str">
        <f t="shared" si="15"/>
        <v/>
      </c>
    </row>
    <row r="177" spans="2:37" ht="21" x14ac:dyDescent="0.35">
      <c r="B177" s="134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  <c r="AD177" s="136" t="str">
        <f t="shared" si="12"/>
        <v/>
      </c>
      <c r="AE177" s="136" t="str">
        <f t="shared" si="13"/>
        <v/>
      </c>
      <c r="AF177" s="136"/>
      <c r="AG177" s="135"/>
      <c r="AH177" s="136"/>
      <c r="AI177" s="135"/>
      <c r="AJ177" s="137" t="str">
        <f t="shared" si="14"/>
        <v/>
      </c>
      <c r="AK177" s="138" t="str">
        <f t="shared" si="15"/>
        <v/>
      </c>
    </row>
    <row r="178" spans="2:37" ht="21" x14ac:dyDescent="0.35">
      <c r="B178" s="134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  <c r="Z178" s="135"/>
      <c r="AA178" s="135"/>
      <c r="AB178" s="135"/>
      <c r="AC178" s="135"/>
      <c r="AD178" s="136" t="str">
        <f t="shared" si="12"/>
        <v/>
      </c>
      <c r="AE178" s="136" t="str">
        <f t="shared" si="13"/>
        <v/>
      </c>
      <c r="AF178" s="136"/>
      <c r="AG178" s="135"/>
      <c r="AH178" s="136"/>
      <c r="AI178" s="135"/>
      <c r="AJ178" s="137" t="str">
        <f t="shared" si="14"/>
        <v/>
      </c>
      <c r="AK178" s="138" t="str">
        <f t="shared" si="15"/>
        <v/>
      </c>
    </row>
    <row r="179" spans="2:37" ht="21" x14ac:dyDescent="0.35">
      <c r="B179" s="141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3" t="str">
        <f t="shared" si="12"/>
        <v/>
      </c>
      <c r="AE179" s="143" t="str">
        <f t="shared" si="13"/>
        <v/>
      </c>
      <c r="AF179" s="143"/>
      <c r="AG179" s="142"/>
      <c r="AH179" s="143"/>
      <c r="AI179" s="142"/>
      <c r="AJ179" s="144" t="str">
        <f t="shared" si="14"/>
        <v/>
      </c>
      <c r="AK179" s="145" t="str">
        <f t="shared" si="15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2"/>
        <v/>
      </c>
      <c r="AE180" s="80" t="str">
        <f t="shared" si="13"/>
        <v/>
      </c>
      <c r="AF180" s="81"/>
      <c r="AG180" s="77"/>
      <c r="AH180" s="81"/>
      <c r="AI180" s="77"/>
      <c r="AJ180" s="82" t="str">
        <f t="shared" si="14"/>
        <v/>
      </c>
      <c r="AK180" s="83" t="str">
        <f t="shared" si="15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2"/>
        <v/>
      </c>
      <c r="AE181" s="80" t="str">
        <f t="shared" si="13"/>
        <v/>
      </c>
      <c r="AF181" s="81"/>
      <c r="AG181" s="77"/>
      <c r="AH181" s="81"/>
      <c r="AI181" s="77"/>
      <c r="AJ181" s="82" t="str">
        <f t="shared" si="14"/>
        <v/>
      </c>
      <c r="AK181" s="83" t="str">
        <f t="shared" si="15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2"/>
        <v/>
      </c>
      <c r="AE182" s="80" t="str">
        <f t="shared" si="13"/>
        <v/>
      </c>
      <c r="AF182" s="81"/>
      <c r="AG182" s="77"/>
      <c r="AH182" s="81"/>
      <c r="AI182" s="77"/>
      <c r="AJ182" s="82" t="str">
        <f t="shared" si="14"/>
        <v/>
      </c>
      <c r="AK182" s="83" t="str">
        <f t="shared" si="15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2"/>
        <v/>
      </c>
      <c r="AE183" s="80" t="str">
        <f t="shared" si="13"/>
        <v/>
      </c>
      <c r="AF183" s="81"/>
      <c r="AG183" s="77"/>
      <c r="AH183" s="81"/>
      <c r="AI183" s="77"/>
      <c r="AJ183" s="82" t="str">
        <f t="shared" si="14"/>
        <v/>
      </c>
      <c r="AK183" s="83" t="str">
        <f t="shared" si="15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2"/>
        <v/>
      </c>
      <c r="AE184" s="80" t="str">
        <f t="shared" si="13"/>
        <v/>
      </c>
      <c r="AF184" s="81"/>
      <c r="AG184" s="77"/>
      <c r="AH184" s="81"/>
      <c r="AI184" s="77"/>
      <c r="AJ184" s="82" t="str">
        <f t="shared" si="14"/>
        <v/>
      </c>
      <c r="AK184" s="83" t="str">
        <f t="shared" si="15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2"/>
        <v/>
      </c>
      <c r="AE185" s="80" t="str">
        <f t="shared" si="13"/>
        <v/>
      </c>
      <c r="AF185" s="81"/>
      <c r="AG185" s="77"/>
      <c r="AH185" s="81"/>
      <c r="AI185" s="77"/>
      <c r="AJ185" s="82" t="str">
        <f t="shared" si="14"/>
        <v/>
      </c>
      <c r="AK185" s="83" t="str">
        <f t="shared" si="15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2"/>
        <v/>
      </c>
      <c r="AE186" s="80" t="str">
        <f t="shared" si="13"/>
        <v/>
      </c>
      <c r="AF186" s="81"/>
      <c r="AG186" s="77"/>
      <c r="AH186" s="81"/>
      <c r="AI186" s="77"/>
      <c r="AJ186" s="82" t="str">
        <f t="shared" si="14"/>
        <v/>
      </c>
      <c r="AK186" s="83" t="str">
        <f t="shared" si="15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2"/>
        <v/>
      </c>
      <c r="AE187" s="80" t="str">
        <f t="shared" si="13"/>
        <v/>
      </c>
      <c r="AF187" s="81"/>
      <c r="AG187" s="77"/>
      <c r="AH187" s="81"/>
      <c r="AI187" s="77"/>
      <c r="AJ187" s="82" t="str">
        <f t="shared" si="14"/>
        <v/>
      </c>
      <c r="AK187" s="83" t="str">
        <f t="shared" si="15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2"/>
        <v/>
      </c>
      <c r="AE188" s="80" t="str">
        <f t="shared" si="13"/>
        <v/>
      </c>
      <c r="AF188" s="81"/>
      <c r="AG188" s="77"/>
      <c r="AH188" s="81"/>
      <c r="AI188" s="77"/>
      <c r="AJ188" s="82" t="str">
        <f t="shared" si="14"/>
        <v/>
      </c>
      <c r="AK188" s="83" t="str">
        <f t="shared" si="15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2"/>
        <v/>
      </c>
      <c r="AE189" s="80" t="str">
        <f t="shared" si="13"/>
        <v/>
      </c>
      <c r="AF189" s="81"/>
      <c r="AG189" s="77"/>
      <c r="AH189" s="81"/>
      <c r="AI189" s="77"/>
      <c r="AJ189" s="82" t="str">
        <f t="shared" si="14"/>
        <v/>
      </c>
      <c r="AK189" s="83" t="str">
        <f t="shared" si="15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2"/>
        <v/>
      </c>
      <c r="AE190" s="80" t="str">
        <f t="shared" si="13"/>
        <v/>
      </c>
      <c r="AF190" s="81"/>
      <c r="AG190" s="77"/>
      <c r="AH190" s="81"/>
      <c r="AI190" s="77"/>
      <c r="AJ190" s="82" t="str">
        <f t="shared" si="14"/>
        <v/>
      </c>
      <c r="AK190" s="83" t="str">
        <f t="shared" si="15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2"/>
        <v/>
      </c>
      <c r="AE191" s="80" t="str">
        <f t="shared" si="13"/>
        <v/>
      </c>
      <c r="AF191" s="81"/>
      <c r="AG191" s="77"/>
      <c r="AH191" s="81"/>
      <c r="AI191" s="77"/>
      <c r="AJ191" s="82" t="str">
        <f t="shared" si="14"/>
        <v/>
      </c>
      <c r="AK191" s="83" t="str">
        <f t="shared" si="15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2"/>
        <v/>
      </c>
      <c r="AE192" s="80" t="str">
        <f t="shared" si="13"/>
        <v/>
      </c>
      <c r="AF192" s="81"/>
      <c r="AG192" s="77"/>
      <c r="AH192" s="81"/>
      <c r="AI192" s="77"/>
      <c r="AJ192" s="82" t="str">
        <f t="shared" si="14"/>
        <v/>
      </c>
      <c r="AK192" s="83" t="str">
        <f t="shared" si="15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2"/>
        <v/>
      </c>
      <c r="AE193" s="80" t="str">
        <f t="shared" si="13"/>
        <v/>
      </c>
      <c r="AF193" s="81"/>
      <c r="AG193" s="77"/>
      <c r="AH193" s="81"/>
      <c r="AI193" s="77"/>
      <c r="AJ193" s="82" t="str">
        <f t="shared" si="14"/>
        <v/>
      </c>
      <c r="AK193" s="83" t="str">
        <f t="shared" si="15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2"/>
        <v/>
      </c>
      <c r="AE194" s="80" t="str">
        <f t="shared" si="13"/>
        <v/>
      </c>
      <c r="AF194" s="81"/>
      <c r="AG194" s="77"/>
      <c r="AH194" s="81"/>
      <c r="AI194" s="77"/>
      <c r="AJ194" s="82" t="str">
        <f t="shared" si="14"/>
        <v/>
      </c>
      <c r="AK194" s="83" t="str">
        <f t="shared" si="15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2"/>
        <v/>
      </c>
      <c r="AE195" s="80" t="str">
        <f t="shared" si="13"/>
        <v/>
      </c>
      <c r="AF195" s="81"/>
      <c r="AG195" s="77"/>
      <c r="AH195" s="81"/>
      <c r="AI195" s="77"/>
      <c r="AJ195" s="82" t="str">
        <f t="shared" si="14"/>
        <v/>
      </c>
      <c r="AK195" s="83" t="str">
        <f t="shared" si="15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16">IF(MIN(F196,J196,N196,R196,V196,Z196)&lt;&gt;0,MIN(F196,J196,N196,R196,V196,Z196),"")</f>
        <v/>
      </c>
      <c r="AE196" s="80" t="str">
        <f t="shared" ref="AE196:AE259" si="17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18">IF(AD196="","",IF(ISBLANK(AF196),"En cours",AD196+AF196))</f>
        <v/>
      </c>
      <c r="AK196" s="83" t="str">
        <f t="shared" ref="AK196:AK259" si="19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16"/>
        <v/>
      </c>
      <c r="AE197" s="80" t="str">
        <f t="shared" si="17"/>
        <v/>
      </c>
      <c r="AF197" s="81"/>
      <c r="AG197" s="77"/>
      <c r="AH197" s="81"/>
      <c r="AI197" s="77"/>
      <c r="AJ197" s="82" t="str">
        <f t="shared" si="18"/>
        <v/>
      </c>
      <c r="AK197" s="83" t="str">
        <f t="shared" si="19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16"/>
        <v/>
      </c>
      <c r="AE198" s="80" t="str">
        <f t="shared" si="17"/>
        <v/>
      </c>
      <c r="AF198" s="81"/>
      <c r="AG198" s="77"/>
      <c r="AH198" s="81"/>
      <c r="AI198" s="77"/>
      <c r="AJ198" s="82" t="str">
        <f t="shared" si="18"/>
        <v/>
      </c>
      <c r="AK198" s="83" t="str">
        <f t="shared" si="19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16"/>
        <v/>
      </c>
      <c r="AE199" s="80" t="str">
        <f t="shared" si="17"/>
        <v/>
      </c>
      <c r="AF199" s="81"/>
      <c r="AG199" s="77"/>
      <c r="AH199" s="81"/>
      <c r="AI199" s="77"/>
      <c r="AJ199" s="82" t="str">
        <f t="shared" si="18"/>
        <v/>
      </c>
      <c r="AK199" s="83" t="str">
        <f t="shared" si="19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16"/>
        <v/>
      </c>
      <c r="AE200" s="80" t="str">
        <f t="shared" si="17"/>
        <v/>
      </c>
      <c r="AF200" s="81"/>
      <c r="AG200" s="77"/>
      <c r="AH200" s="81"/>
      <c r="AI200" s="77"/>
      <c r="AJ200" s="82" t="str">
        <f t="shared" si="18"/>
        <v/>
      </c>
      <c r="AK200" s="83" t="str">
        <f t="shared" si="19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16"/>
        <v/>
      </c>
      <c r="AE201" s="80" t="str">
        <f t="shared" si="17"/>
        <v/>
      </c>
      <c r="AF201" s="81"/>
      <c r="AG201" s="77"/>
      <c r="AH201" s="81"/>
      <c r="AI201" s="77"/>
      <c r="AJ201" s="82" t="str">
        <f t="shared" si="18"/>
        <v/>
      </c>
      <c r="AK201" s="83" t="str">
        <f t="shared" si="19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16"/>
        <v/>
      </c>
      <c r="AE202" s="80" t="str">
        <f t="shared" si="17"/>
        <v/>
      </c>
      <c r="AF202" s="81"/>
      <c r="AG202" s="77"/>
      <c r="AH202" s="81"/>
      <c r="AI202" s="77"/>
      <c r="AJ202" s="82" t="str">
        <f t="shared" si="18"/>
        <v/>
      </c>
      <c r="AK202" s="83" t="str">
        <f t="shared" si="19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16"/>
        <v/>
      </c>
      <c r="AE203" s="80" t="str">
        <f t="shared" si="17"/>
        <v/>
      </c>
      <c r="AF203" s="81"/>
      <c r="AG203" s="77"/>
      <c r="AH203" s="81"/>
      <c r="AI203" s="77"/>
      <c r="AJ203" s="82" t="str">
        <f t="shared" si="18"/>
        <v/>
      </c>
      <c r="AK203" s="83" t="str">
        <f t="shared" si="19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16"/>
        <v/>
      </c>
      <c r="AE204" s="80" t="str">
        <f t="shared" si="17"/>
        <v/>
      </c>
      <c r="AF204" s="81"/>
      <c r="AG204" s="77"/>
      <c r="AH204" s="81"/>
      <c r="AI204" s="77"/>
      <c r="AJ204" s="82" t="str">
        <f t="shared" si="18"/>
        <v/>
      </c>
      <c r="AK204" s="83" t="str">
        <f t="shared" si="19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16"/>
        <v/>
      </c>
      <c r="AE205" s="80" t="str">
        <f t="shared" si="17"/>
        <v/>
      </c>
      <c r="AF205" s="81"/>
      <c r="AG205" s="77"/>
      <c r="AH205" s="81"/>
      <c r="AI205" s="77"/>
      <c r="AJ205" s="82" t="str">
        <f t="shared" si="18"/>
        <v/>
      </c>
      <c r="AK205" s="83" t="str">
        <f t="shared" si="19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16"/>
        <v/>
      </c>
      <c r="AE206" s="80" t="str">
        <f t="shared" si="17"/>
        <v/>
      </c>
      <c r="AF206" s="81"/>
      <c r="AG206" s="77"/>
      <c r="AH206" s="81"/>
      <c r="AI206" s="77"/>
      <c r="AJ206" s="82" t="str">
        <f t="shared" si="18"/>
        <v/>
      </c>
      <c r="AK206" s="83" t="str">
        <f t="shared" si="19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16"/>
        <v/>
      </c>
      <c r="AE207" s="80" t="str">
        <f t="shared" si="17"/>
        <v/>
      </c>
      <c r="AF207" s="81"/>
      <c r="AG207" s="77"/>
      <c r="AH207" s="81"/>
      <c r="AI207" s="77"/>
      <c r="AJ207" s="82" t="str">
        <f t="shared" si="18"/>
        <v/>
      </c>
      <c r="AK207" s="83" t="str">
        <f t="shared" si="19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16"/>
        <v/>
      </c>
      <c r="AE208" s="80" t="str">
        <f t="shared" si="17"/>
        <v/>
      </c>
      <c r="AF208" s="81"/>
      <c r="AG208" s="77"/>
      <c r="AH208" s="81"/>
      <c r="AI208" s="77"/>
      <c r="AJ208" s="82" t="str">
        <f t="shared" si="18"/>
        <v/>
      </c>
      <c r="AK208" s="83" t="str">
        <f t="shared" si="19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16"/>
        <v/>
      </c>
      <c r="AE209" s="80" t="str">
        <f t="shared" si="17"/>
        <v/>
      </c>
      <c r="AF209" s="81"/>
      <c r="AG209" s="77"/>
      <c r="AH209" s="81"/>
      <c r="AI209" s="77"/>
      <c r="AJ209" s="82" t="str">
        <f t="shared" si="18"/>
        <v/>
      </c>
      <c r="AK209" s="83" t="str">
        <f t="shared" si="19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16"/>
        <v/>
      </c>
      <c r="AE210" s="80" t="str">
        <f t="shared" si="17"/>
        <v/>
      </c>
      <c r="AF210" s="81"/>
      <c r="AG210" s="77"/>
      <c r="AH210" s="81"/>
      <c r="AI210" s="77"/>
      <c r="AJ210" s="82" t="str">
        <f t="shared" si="18"/>
        <v/>
      </c>
      <c r="AK210" s="83" t="str">
        <f t="shared" si="19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16"/>
        <v/>
      </c>
      <c r="AE211" s="80" t="str">
        <f t="shared" si="17"/>
        <v/>
      </c>
      <c r="AF211" s="81"/>
      <c r="AG211" s="77"/>
      <c r="AH211" s="81"/>
      <c r="AI211" s="77"/>
      <c r="AJ211" s="82" t="str">
        <f t="shared" si="18"/>
        <v/>
      </c>
      <c r="AK211" s="83" t="str">
        <f t="shared" si="19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16"/>
        <v/>
      </c>
      <c r="AE212" s="80" t="str">
        <f t="shared" si="17"/>
        <v/>
      </c>
      <c r="AF212" s="81"/>
      <c r="AG212" s="77"/>
      <c r="AH212" s="81"/>
      <c r="AI212" s="77"/>
      <c r="AJ212" s="82" t="str">
        <f t="shared" si="18"/>
        <v/>
      </c>
      <c r="AK212" s="83" t="str">
        <f t="shared" si="19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16"/>
        <v/>
      </c>
      <c r="AE213" s="80" t="str">
        <f t="shared" si="17"/>
        <v/>
      </c>
      <c r="AF213" s="81"/>
      <c r="AG213" s="77"/>
      <c r="AH213" s="81"/>
      <c r="AI213" s="77"/>
      <c r="AJ213" s="82" t="str">
        <f t="shared" si="18"/>
        <v/>
      </c>
      <c r="AK213" s="83" t="str">
        <f t="shared" si="19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16"/>
        <v/>
      </c>
      <c r="AE214" s="80" t="str">
        <f t="shared" si="17"/>
        <v/>
      </c>
      <c r="AF214" s="81"/>
      <c r="AG214" s="77"/>
      <c r="AH214" s="81"/>
      <c r="AI214" s="77"/>
      <c r="AJ214" s="82" t="str">
        <f t="shared" si="18"/>
        <v/>
      </c>
      <c r="AK214" s="83" t="str">
        <f t="shared" si="19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16"/>
        <v/>
      </c>
      <c r="AE215" s="80" t="str">
        <f t="shared" si="17"/>
        <v/>
      </c>
      <c r="AF215" s="81"/>
      <c r="AG215" s="77"/>
      <c r="AH215" s="81"/>
      <c r="AI215" s="77"/>
      <c r="AJ215" s="82" t="str">
        <f t="shared" si="18"/>
        <v/>
      </c>
      <c r="AK215" s="83" t="str">
        <f t="shared" si="19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16"/>
        <v/>
      </c>
      <c r="AE216" s="80" t="str">
        <f t="shared" si="17"/>
        <v/>
      </c>
      <c r="AF216" s="81"/>
      <c r="AG216" s="77"/>
      <c r="AH216" s="81"/>
      <c r="AI216" s="77"/>
      <c r="AJ216" s="82" t="str">
        <f t="shared" si="18"/>
        <v/>
      </c>
      <c r="AK216" s="83" t="str">
        <f t="shared" si="19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16"/>
        <v/>
      </c>
      <c r="AE217" s="80" t="str">
        <f t="shared" si="17"/>
        <v/>
      </c>
      <c r="AF217" s="81"/>
      <c r="AG217" s="77"/>
      <c r="AH217" s="81"/>
      <c r="AI217" s="77"/>
      <c r="AJ217" s="82" t="str">
        <f t="shared" si="18"/>
        <v/>
      </c>
      <c r="AK217" s="83" t="str">
        <f t="shared" si="19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16"/>
        <v/>
      </c>
      <c r="AE218" s="80" t="str">
        <f t="shared" si="17"/>
        <v/>
      </c>
      <c r="AF218" s="81"/>
      <c r="AG218" s="77"/>
      <c r="AH218" s="81"/>
      <c r="AI218" s="77"/>
      <c r="AJ218" s="82" t="str">
        <f t="shared" si="18"/>
        <v/>
      </c>
      <c r="AK218" s="83" t="str">
        <f t="shared" si="19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16"/>
        <v/>
      </c>
      <c r="AE219" s="80" t="str">
        <f t="shared" si="17"/>
        <v/>
      </c>
      <c r="AF219" s="81"/>
      <c r="AG219" s="77"/>
      <c r="AH219" s="81"/>
      <c r="AI219" s="77"/>
      <c r="AJ219" s="82" t="str">
        <f t="shared" si="18"/>
        <v/>
      </c>
      <c r="AK219" s="83" t="str">
        <f t="shared" si="19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16"/>
        <v/>
      </c>
      <c r="AE220" s="80" t="str">
        <f t="shared" si="17"/>
        <v/>
      </c>
      <c r="AF220" s="81"/>
      <c r="AG220" s="77"/>
      <c r="AH220" s="81"/>
      <c r="AI220" s="77"/>
      <c r="AJ220" s="82" t="str">
        <f t="shared" si="18"/>
        <v/>
      </c>
      <c r="AK220" s="83" t="str">
        <f t="shared" si="19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16"/>
        <v/>
      </c>
      <c r="AE221" s="80" t="str">
        <f t="shared" si="17"/>
        <v/>
      </c>
      <c r="AF221" s="81"/>
      <c r="AG221" s="77"/>
      <c r="AH221" s="81"/>
      <c r="AI221" s="77"/>
      <c r="AJ221" s="82" t="str">
        <f t="shared" si="18"/>
        <v/>
      </c>
      <c r="AK221" s="83" t="str">
        <f t="shared" si="19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16"/>
        <v/>
      </c>
      <c r="AE222" s="80" t="str">
        <f t="shared" si="17"/>
        <v/>
      </c>
      <c r="AF222" s="81"/>
      <c r="AG222" s="77"/>
      <c r="AH222" s="81"/>
      <c r="AI222" s="77"/>
      <c r="AJ222" s="82" t="str">
        <f t="shared" si="18"/>
        <v/>
      </c>
      <c r="AK222" s="83" t="str">
        <f t="shared" si="19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16"/>
        <v/>
      </c>
      <c r="AE223" s="80" t="str">
        <f t="shared" si="17"/>
        <v/>
      </c>
      <c r="AF223" s="81"/>
      <c r="AG223" s="77"/>
      <c r="AH223" s="81"/>
      <c r="AI223" s="77"/>
      <c r="AJ223" s="82" t="str">
        <f t="shared" si="18"/>
        <v/>
      </c>
      <c r="AK223" s="83" t="str">
        <f t="shared" si="19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16"/>
        <v/>
      </c>
      <c r="AE224" s="80" t="str">
        <f t="shared" si="17"/>
        <v/>
      </c>
      <c r="AF224" s="81"/>
      <c r="AG224" s="77"/>
      <c r="AH224" s="81"/>
      <c r="AI224" s="77"/>
      <c r="AJ224" s="82" t="str">
        <f t="shared" si="18"/>
        <v/>
      </c>
      <c r="AK224" s="83" t="str">
        <f t="shared" si="19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16"/>
        <v/>
      </c>
      <c r="AE225" s="80" t="str">
        <f t="shared" si="17"/>
        <v/>
      </c>
      <c r="AF225" s="81"/>
      <c r="AG225" s="77"/>
      <c r="AH225" s="81"/>
      <c r="AI225" s="77"/>
      <c r="AJ225" s="82" t="str">
        <f t="shared" si="18"/>
        <v/>
      </c>
      <c r="AK225" s="83" t="str">
        <f t="shared" si="19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16"/>
        <v/>
      </c>
      <c r="AE226" s="80" t="str">
        <f t="shared" si="17"/>
        <v/>
      </c>
      <c r="AF226" s="81"/>
      <c r="AG226" s="77"/>
      <c r="AH226" s="81"/>
      <c r="AI226" s="77"/>
      <c r="AJ226" s="82" t="str">
        <f t="shared" si="18"/>
        <v/>
      </c>
      <c r="AK226" s="83" t="str">
        <f t="shared" si="19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16"/>
        <v/>
      </c>
      <c r="AE227" s="80" t="str">
        <f t="shared" si="17"/>
        <v/>
      </c>
      <c r="AF227" s="81"/>
      <c r="AG227" s="77"/>
      <c r="AH227" s="81"/>
      <c r="AI227" s="77"/>
      <c r="AJ227" s="82" t="str">
        <f t="shared" si="18"/>
        <v/>
      </c>
      <c r="AK227" s="83" t="str">
        <f t="shared" si="19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16"/>
        <v/>
      </c>
      <c r="AE228" s="80" t="str">
        <f t="shared" si="17"/>
        <v/>
      </c>
      <c r="AF228" s="81"/>
      <c r="AG228" s="77"/>
      <c r="AH228" s="81"/>
      <c r="AI228" s="77"/>
      <c r="AJ228" s="82" t="str">
        <f t="shared" si="18"/>
        <v/>
      </c>
      <c r="AK228" s="83" t="str">
        <f t="shared" si="19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16"/>
        <v/>
      </c>
      <c r="AE229" s="80" t="str">
        <f t="shared" si="17"/>
        <v/>
      </c>
      <c r="AF229" s="81"/>
      <c r="AG229" s="77"/>
      <c r="AH229" s="81"/>
      <c r="AI229" s="77"/>
      <c r="AJ229" s="82" t="str">
        <f t="shared" si="18"/>
        <v/>
      </c>
      <c r="AK229" s="83" t="str">
        <f t="shared" si="19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16"/>
        <v/>
      </c>
      <c r="AE230" s="80" t="str">
        <f t="shared" si="17"/>
        <v/>
      </c>
      <c r="AF230" s="81"/>
      <c r="AG230" s="77"/>
      <c r="AH230" s="81"/>
      <c r="AI230" s="77"/>
      <c r="AJ230" s="82" t="str">
        <f t="shared" si="18"/>
        <v/>
      </c>
      <c r="AK230" s="83" t="str">
        <f t="shared" si="19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16"/>
        <v/>
      </c>
      <c r="AE231" s="80" t="str">
        <f t="shared" si="17"/>
        <v/>
      </c>
      <c r="AF231" s="81"/>
      <c r="AG231" s="77"/>
      <c r="AH231" s="81"/>
      <c r="AI231" s="77"/>
      <c r="AJ231" s="82" t="str">
        <f t="shared" si="18"/>
        <v/>
      </c>
      <c r="AK231" s="83" t="str">
        <f t="shared" si="19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16"/>
        <v/>
      </c>
      <c r="AE232" s="80" t="str">
        <f t="shared" si="17"/>
        <v/>
      </c>
      <c r="AF232" s="81"/>
      <c r="AG232" s="77"/>
      <c r="AH232" s="81"/>
      <c r="AI232" s="77"/>
      <c r="AJ232" s="82" t="str">
        <f t="shared" si="18"/>
        <v/>
      </c>
      <c r="AK232" s="83" t="str">
        <f t="shared" si="19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16"/>
        <v/>
      </c>
      <c r="AE233" s="80" t="str">
        <f t="shared" si="17"/>
        <v/>
      </c>
      <c r="AF233" s="81"/>
      <c r="AG233" s="77"/>
      <c r="AH233" s="81"/>
      <c r="AI233" s="77"/>
      <c r="AJ233" s="82" t="str">
        <f t="shared" si="18"/>
        <v/>
      </c>
      <c r="AK233" s="83" t="str">
        <f t="shared" si="19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16"/>
        <v/>
      </c>
      <c r="AE234" s="80" t="str">
        <f t="shared" si="17"/>
        <v/>
      </c>
      <c r="AF234" s="81"/>
      <c r="AG234" s="77"/>
      <c r="AH234" s="81"/>
      <c r="AI234" s="77"/>
      <c r="AJ234" s="82" t="str">
        <f t="shared" si="18"/>
        <v/>
      </c>
      <c r="AK234" s="83" t="str">
        <f t="shared" si="19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16"/>
        <v/>
      </c>
      <c r="AE235" s="80" t="str">
        <f t="shared" si="17"/>
        <v/>
      </c>
      <c r="AF235" s="81"/>
      <c r="AG235" s="77"/>
      <c r="AH235" s="81"/>
      <c r="AI235" s="77"/>
      <c r="AJ235" s="82" t="str">
        <f t="shared" si="18"/>
        <v/>
      </c>
      <c r="AK235" s="83" t="str">
        <f t="shared" si="19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16"/>
        <v/>
      </c>
      <c r="AE236" s="80" t="str">
        <f t="shared" si="17"/>
        <v/>
      </c>
      <c r="AF236" s="81"/>
      <c r="AG236" s="77"/>
      <c r="AH236" s="81"/>
      <c r="AI236" s="77"/>
      <c r="AJ236" s="82" t="str">
        <f t="shared" si="18"/>
        <v/>
      </c>
      <c r="AK236" s="83" t="str">
        <f t="shared" si="19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16"/>
        <v/>
      </c>
      <c r="AE237" s="80" t="str">
        <f t="shared" si="17"/>
        <v/>
      </c>
      <c r="AF237" s="81"/>
      <c r="AG237" s="77"/>
      <c r="AH237" s="81"/>
      <c r="AI237" s="77"/>
      <c r="AJ237" s="82" t="str">
        <f t="shared" si="18"/>
        <v/>
      </c>
      <c r="AK237" s="83" t="str">
        <f t="shared" si="19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16"/>
        <v/>
      </c>
      <c r="AE238" s="80" t="str">
        <f t="shared" si="17"/>
        <v/>
      </c>
      <c r="AF238" s="81"/>
      <c r="AG238" s="77"/>
      <c r="AH238" s="81"/>
      <c r="AI238" s="77"/>
      <c r="AJ238" s="82" t="str">
        <f t="shared" si="18"/>
        <v/>
      </c>
      <c r="AK238" s="83" t="str">
        <f t="shared" si="19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16"/>
        <v/>
      </c>
      <c r="AE239" s="80" t="str">
        <f t="shared" si="17"/>
        <v/>
      </c>
      <c r="AF239" s="81"/>
      <c r="AG239" s="77"/>
      <c r="AH239" s="81"/>
      <c r="AI239" s="77"/>
      <c r="AJ239" s="82" t="str">
        <f t="shared" si="18"/>
        <v/>
      </c>
      <c r="AK239" s="83" t="str">
        <f t="shared" si="19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16"/>
        <v/>
      </c>
      <c r="AE240" s="80" t="str">
        <f t="shared" si="17"/>
        <v/>
      </c>
      <c r="AF240" s="81"/>
      <c r="AG240" s="77"/>
      <c r="AH240" s="81"/>
      <c r="AI240" s="77"/>
      <c r="AJ240" s="82" t="str">
        <f t="shared" si="18"/>
        <v/>
      </c>
      <c r="AK240" s="83" t="str">
        <f t="shared" si="19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16"/>
        <v/>
      </c>
      <c r="AE241" s="80" t="str">
        <f t="shared" si="17"/>
        <v/>
      </c>
      <c r="AF241" s="81"/>
      <c r="AG241" s="77"/>
      <c r="AH241" s="81"/>
      <c r="AI241" s="77"/>
      <c r="AJ241" s="82" t="str">
        <f t="shared" si="18"/>
        <v/>
      </c>
      <c r="AK241" s="83" t="str">
        <f t="shared" si="19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16"/>
        <v/>
      </c>
      <c r="AE242" s="80" t="str">
        <f t="shared" si="17"/>
        <v/>
      </c>
      <c r="AF242" s="81"/>
      <c r="AG242" s="77"/>
      <c r="AH242" s="81"/>
      <c r="AI242" s="77"/>
      <c r="AJ242" s="82" t="str">
        <f t="shared" si="18"/>
        <v/>
      </c>
      <c r="AK242" s="83" t="str">
        <f t="shared" si="19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16"/>
        <v/>
      </c>
      <c r="AE243" s="80" t="str">
        <f t="shared" si="17"/>
        <v/>
      </c>
      <c r="AF243" s="81"/>
      <c r="AG243" s="77"/>
      <c r="AH243" s="81"/>
      <c r="AI243" s="77"/>
      <c r="AJ243" s="82" t="str">
        <f t="shared" si="18"/>
        <v/>
      </c>
      <c r="AK243" s="83" t="str">
        <f t="shared" si="19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16"/>
        <v/>
      </c>
      <c r="AE244" s="80" t="str">
        <f t="shared" si="17"/>
        <v/>
      </c>
      <c r="AF244" s="81"/>
      <c r="AG244" s="77"/>
      <c r="AH244" s="81"/>
      <c r="AI244" s="77"/>
      <c r="AJ244" s="82" t="str">
        <f t="shared" si="18"/>
        <v/>
      </c>
      <c r="AK244" s="83" t="str">
        <f t="shared" si="19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16"/>
        <v/>
      </c>
      <c r="AE245" s="80" t="str">
        <f t="shared" si="17"/>
        <v/>
      </c>
      <c r="AF245" s="81"/>
      <c r="AG245" s="77"/>
      <c r="AH245" s="81"/>
      <c r="AI245" s="77"/>
      <c r="AJ245" s="82" t="str">
        <f t="shared" si="18"/>
        <v/>
      </c>
      <c r="AK245" s="83" t="str">
        <f t="shared" si="19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16"/>
        <v/>
      </c>
      <c r="AE246" s="80" t="str">
        <f t="shared" si="17"/>
        <v/>
      </c>
      <c r="AF246" s="81"/>
      <c r="AG246" s="77"/>
      <c r="AH246" s="81"/>
      <c r="AI246" s="77"/>
      <c r="AJ246" s="82" t="str">
        <f t="shared" si="18"/>
        <v/>
      </c>
      <c r="AK246" s="83" t="str">
        <f t="shared" si="19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16"/>
        <v/>
      </c>
      <c r="AE247" s="80" t="str">
        <f t="shared" si="17"/>
        <v/>
      </c>
      <c r="AF247" s="81"/>
      <c r="AG247" s="77"/>
      <c r="AH247" s="81"/>
      <c r="AI247" s="77"/>
      <c r="AJ247" s="82" t="str">
        <f t="shared" si="18"/>
        <v/>
      </c>
      <c r="AK247" s="83" t="str">
        <f t="shared" si="19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16"/>
        <v/>
      </c>
      <c r="AE248" s="80" t="str">
        <f t="shared" si="17"/>
        <v/>
      </c>
      <c r="AF248" s="81"/>
      <c r="AG248" s="77"/>
      <c r="AH248" s="81"/>
      <c r="AI248" s="77"/>
      <c r="AJ248" s="82" t="str">
        <f t="shared" si="18"/>
        <v/>
      </c>
      <c r="AK248" s="83" t="str">
        <f t="shared" si="19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16"/>
        <v/>
      </c>
      <c r="AE249" s="80" t="str">
        <f t="shared" si="17"/>
        <v/>
      </c>
      <c r="AF249" s="81"/>
      <c r="AG249" s="77"/>
      <c r="AH249" s="81"/>
      <c r="AI249" s="77"/>
      <c r="AJ249" s="82" t="str">
        <f t="shared" si="18"/>
        <v/>
      </c>
      <c r="AK249" s="83" t="str">
        <f t="shared" si="19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16"/>
        <v/>
      </c>
      <c r="AE250" s="80" t="str">
        <f t="shared" si="17"/>
        <v/>
      </c>
      <c r="AF250" s="81"/>
      <c r="AG250" s="77"/>
      <c r="AH250" s="81"/>
      <c r="AI250" s="77"/>
      <c r="AJ250" s="82" t="str">
        <f t="shared" si="18"/>
        <v/>
      </c>
      <c r="AK250" s="83" t="str">
        <f t="shared" si="19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16"/>
        <v/>
      </c>
      <c r="AE251" s="80" t="str">
        <f t="shared" si="17"/>
        <v/>
      </c>
      <c r="AF251" s="81"/>
      <c r="AG251" s="77"/>
      <c r="AH251" s="81"/>
      <c r="AI251" s="77"/>
      <c r="AJ251" s="82" t="str">
        <f t="shared" si="18"/>
        <v/>
      </c>
      <c r="AK251" s="83" t="str">
        <f t="shared" si="19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16"/>
        <v/>
      </c>
      <c r="AE252" s="80" t="str">
        <f t="shared" si="17"/>
        <v/>
      </c>
      <c r="AF252" s="81"/>
      <c r="AG252" s="77"/>
      <c r="AH252" s="81"/>
      <c r="AI252" s="77"/>
      <c r="AJ252" s="82" t="str">
        <f t="shared" si="18"/>
        <v/>
      </c>
      <c r="AK252" s="83" t="str">
        <f t="shared" si="19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16"/>
        <v/>
      </c>
      <c r="AE253" s="80" t="str">
        <f t="shared" si="17"/>
        <v/>
      </c>
      <c r="AF253" s="81"/>
      <c r="AG253" s="77"/>
      <c r="AH253" s="81"/>
      <c r="AI253" s="77"/>
      <c r="AJ253" s="82" t="str">
        <f t="shared" si="18"/>
        <v/>
      </c>
      <c r="AK253" s="83" t="str">
        <f t="shared" si="19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16"/>
        <v/>
      </c>
      <c r="AE254" s="80" t="str">
        <f t="shared" si="17"/>
        <v/>
      </c>
      <c r="AF254" s="81"/>
      <c r="AG254" s="77"/>
      <c r="AH254" s="81"/>
      <c r="AI254" s="77"/>
      <c r="AJ254" s="82" t="str">
        <f t="shared" si="18"/>
        <v/>
      </c>
      <c r="AK254" s="83" t="str">
        <f t="shared" si="19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16"/>
        <v/>
      </c>
      <c r="AE255" s="80" t="str">
        <f t="shared" si="17"/>
        <v/>
      </c>
      <c r="AF255" s="81"/>
      <c r="AG255" s="77"/>
      <c r="AH255" s="81"/>
      <c r="AI255" s="77"/>
      <c r="AJ255" s="82" t="str">
        <f t="shared" si="18"/>
        <v/>
      </c>
      <c r="AK255" s="83" t="str">
        <f t="shared" si="19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16"/>
        <v/>
      </c>
      <c r="AE256" s="80" t="str">
        <f t="shared" si="17"/>
        <v/>
      </c>
      <c r="AF256" s="81"/>
      <c r="AG256" s="77"/>
      <c r="AH256" s="81"/>
      <c r="AI256" s="77"/>
      <c r="AJ256" s="82" t="str">
        <f t="shared" si="18"/>
        <v/>
      </c>
      <c r="AK256" s="83" t="str">
        <f t="shared" si="19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16"/>
        <v/>
      </c>
      <c r="AE257" s="80" t="str">
        <f t="shared" si="17"/>
        <v/>
      </c>
      <c r="AF257" s="81"/>
      <c r="AG257" s="77"/>
      <c r="AH257" s="81"/>
      <c r="AI257" s="77"/>
      <c r="AJ257" s="82" t="str">
        <f t="shared" si="18"/>
        <v/>
      </c>
      <c r="AK257" s="83" t="str">
        <f t="shared" si="19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16"/>
        <v/>
      </c>
      <c r="AE258" s="80" t="str">
        <f t="shared" si="17"/>
        <v/>
      </c>
      <c r="AF258" s="81"/>
      <c r="AG258" s="77"/>
      <c r="AH258" s="81"/>
      <c r="AI258" s="77"/>
      <c r="AJ258" s="82" t="str">
        <f t="shared" si="18"/>
        <v/>
      </c>
      <c r="AK258" s="83" t="str">
        <f t="shared" si="19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16"/>
        <v/>
      </c>
      <c r="AE259" s="80" t="str">
        <f t="shared" si="17"/>
        <v/>
      </c>
      <c r="AF259" s="81"/>
      <c r="AG259" s="77"/>
      <c r="AH259" s="81"/>
      <c r="AI259" s="77"/>
      <c r="AJ259" s="82" t="str">
        <f t="shared" si="18"/>
        <v/>
      </c>
      <c r="AK259" s="83" t="str">
        <f t="shared" si="19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0">IF(MIN(F260,J260,N260,R260,V260,Z260)&lt;&gt;0,MIN(F260,J260,N260,R260,V260,Z260),"")</f>
        <v/>
      </c>
      <c r="AE260" s="80" t="str">
        <f t="shared" ref="AE260:AE323" si="21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2">IF(AD260="","",IF(ISBLANK(AF260),"En cours",AD260+AF260))</f>
        <v/>
      </c>
      <c r="AK260" s="83" t="str">
        <f t="shared" ref="AK260:AK323" si="23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0"/>
        <v/>
      </c>
      <c r="AE261" s="80" t="str">
        <f t="shared" si="21"/>
        <v/>
      </c>
      <c r="AF261" s="81"/>
      <c r="AG261" s="77"/>
      <c r="AH261" s="81"/>
      <c r="AI261" s="77"/>
      <c r="AJ261" s="82" t="str">
        <f t="shared" si="22"/>
        <v/>
      </c>
      <c r="AK261" s="83" t="str">
        <f t="shared" si="23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0"/>
        <v/>
      </c>
      <c r="AE262" s="80" t="str">
        <f t="shared" si="21"/>
        <v/>
      </c>
      <c r="AF262" s="81"/>
      <c r="AG262" s="77"/>
      <c r="AH262" s="81"/>
      <c r="AI262" s="77"/>
      <c r="AJ262" s="82" t="str">
        <f t="shared" si="22"/>
        <v/>
      </c>
      <c r="AK262" s="83" t="str">
        <f t="shared" si="23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0"/>
        <v/>
      </c>
      <c r="AE263" s="80" t="str">
        <f t="shared" si="21"/>
        <v/>
      </c>
      <c r="AF263" s="81"/>
      <c r="AG263" s="77"/>
      <c r="AH263" s="81"/>
      <c r="AI263" s="77"/>
      <c r="AJ263" s="82" t="str">
        <f t="shared" si="22"/>
        <v/>
      </c>
      <c r="AK263" s="83" t="str">
        <f t="shared" si="23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0"/>
        <v/>
      </c>
      <c r="AE264" s="80" t="str">
        <f t="shared" si="21"/>
        <v/>
      </c>
      <c r="AF264" s="81"/>
      <c r="AG264" s="77"/>
      <c r="AH264" s="81"/>
      <c r="AI264" s="77"/>
      <c r="AJ264" s="82" t="str">
        <f t="shared" si="22"/>
        <v/>
      </c>
      <c r="AK264" s="83" t="str">
        <f t="shared" si="23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0"/>
        <v/>
      </c>
      <c r="AE265" s="80" t="str">
        <f t="shared" si="21"/>
        <v/>
      </c>
      <c r="AF265" s="81"/>
      <c r="AG265" s="77"/>
      <c r="AH265" s="81"/>
      <c r="AI265" s="77"/>
      <c r="AJ265" s="82" t="str">
        <f t="shared" si="22"/>
        <v/>
      </c>
      <c r="AK265" s="83" t="str">
        <f t="shared" si="23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0"/>
        <v/>
      </c>
      <c r="AE266" s="80" t="str">
        <f t="shared" si="21"/>
        <v/>
      </c>
      <c r="AF266" s="81"/>
      <c r="AG266" s="77"/>
      <c r="AH266" s="81"/>
      <c r="AI266" s="77"/>
      <c r="AJ266" s="82" t="str">
        <f t="shared" si="22"/>
        <v/>
      </c>
      <c r="AK266" s="83" t="str">
        <f t="shared" si="23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0"/>
        <v/>
      </c>
      <c r="AE267" s="80" t="str">
        <f t="shared" si="21"/>
        <v/>
      </c>
      <c r="AF267" s="81"/>
      <c r="AG267" s="77"/>
      <c r="AH267" s="81"/>
      <c r="AI267" s="77"/>
      <c r="AJ267" s="82" t="str">
        <f t="shared" si="22"/>
        <v/>
      </c>
      <c r="AK267" s="83" t="str">
        <f t="shared" si="23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0"/>
        <v/>
      </c>
      <c r="AE268" s="80" t="str">
        <f t="shared" si="21"/>
        <v/>
      </c>
      <c r="AF268" s="81"/>
      <c r="AG268" s="77"/>
      <c r="AH268" s="81"/>
      <c r="AI268" s="77"/>
      <c r="AJ268" s="82" t="str">
        <f t="shared" si="22"/>
        <v/>
      </c>
      <c r="AK268" s="83" t="str">
        <f t="shared" si="23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0"/>
        <v/>
      </c>
      <c r="AE269" s="80" t="str">
        <f t="shared" si="21"/>
        <v/>
      </c>
      <c r="AF269" s="81"/>
      <c r="AG269" s="77"/>
      <c r="AH269" s="81"/>
      <c r="AI269" s="77"/>
      <c r="AJ269" s="82" t="str">
        <f t="shared" si="22"/>
        <v/>
      </c>
      <c r="AK269" s="83" t="str">
        <f t="shared" si="23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0"/>
        <v/>
      </c>
      <c r="AE270" s="80" t="str">
        <f t="shared" si="21"/>
        <v/>
      </c>
      <c r="AF270" s="81"/>
      <c r="AG270" s="77"/>
      <c r="AH270" s="81"/>
      <c r="AI270" s="77"/>
      <c r="AJ270" s="82" t="str">
        <f t="shared" si="22"/>
        <v/>
      </c>
      <c r="AK270" s="83" t="str">
        <f t="shared" si="23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0"/>
        <v/>
      </c>
      <c r="AE271" s="80" t="str">
        <f t="shared" si="21"/>
        <v/>
      </c>
      <c r="AF271" s="81"/>
      <c r="AG271" s="77"/>
      <c r="AH271" s="81"/>
      <c r="AI271" s="77"/>
      <c r="AJ271" s="82" t="str">
        <f t="shared" si="22"/>
        <v/>
      </c>
      <c r="AK271" s="83" t="str">
        <f t="shared" si="23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0"/>
        <v/>
      </c>
      <c r="AE272" s="80" t="str">
        <f t="shared" si="21"/>
        <v/>
      </c>
      <c r="AF272" s="81"/>
      <c r="AG272" s="77"/>
      <c r="AH272" s="81"/>
      <c r="AI272" s="77"/>
      <c r="AJ272" s="82" t="str">
        <f t="shared" si="22"/>
        <v/>
      </c>
      <c r="AK272" s="83" t="str">
        <f t="shared" si="23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0"/>
        <v/>
      </c>
      <c r="AE273" s="80" t="str">
        <f t="shared" si="21"/>
        <v/>
      </c>
      <c r="AF273" s="81"/>
      <c r="AG273" s="77"/>
      <c r="AH273" s="81"/>
      <c r="AI273" s="77"/>
      <c r="AJ273" s="82" t="str">
        <f t="shared" si="22"/>
        <v/>
      </c>
      <c r="AK273" s="83" t="str">
        <f t="shared" si="23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0"/>
        <v/>
      </c>
      <c r="AE274" s="80" t="str">
        <f t="shared" si="21"/>
        <v/>
      </c>
      <c r="AF274" s="81"/>
      <c r="AG274" s="77"/>
      <c r="AH274" s="81"/>
      <c r="AI274" s="77"/>
      <c r="AJ274" s="82" t="str">
        <f t="shared" si="22"/>
        <v/>
      </c>
      <c r="AK274" s="83" t="str">
        <f t="shared" si="23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0"/>
        <v/>
      </c>
      <c r="AE275" s="80" t="str">
        <f t="shared" si="21"/>
        <v/>
      </c>
      <c r="AF275" s="81"/>
      <c r="AG275" s="77"/>
      <c r="AH275" s="81"/>
      <c r="AI275" s="77"/>
      <c r="AJ275" s="82" t="str">
        <f t="shared" si="22"/>
        <v/>
      </c>
      <c r="AK275" s="83" t="str">
        <f t="shared" si="23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0"/>
        <v/>
      </c>
      <c r="AE276" s="80" t="str">
        <f t="shared" si="21"/>
        <v/>
      </c>
      <c r="AF276" s="81"/>
      <c r="AG276" s="77"/>
      <c r="AH276" s="81"/>
      <c r="AI276" s="77"/>
      <c r="AJ276" s="82" t="str">
        <f t="shared" si="22"/>
        <v/>
      </c>
      <c r="AK276" s="83" t="str">
        <f t="shared" si="23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0"/>
        <v/>
      </c>
      <c r="AE277" s="80" t="str">
        <f t="shared" si="21"/>
        <v/>
      </c>
      <c r="AF277" s="81"/>
      <c r="AG277" s="77"/>
      <c r="AH277" s="81"/>
      <c r="AI277" s="77"/>
      <c r="AJ277" s="82" t="str">
        <f t="shared" si="22"/>
        <v/>
      </c>
      <c r="AK277" s="83" t="str">
        <f t="shared" si="23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0"/>
        <v/>
      </c>
      <c r="AE278" s="80" t="str">
        <f t="shared" si="21"/>
        <v/>
      </c>
      <c r="AF278" s="81"/>
      <c r="AG278" s="77"/>
      <c r="AH278" s="81"/>
      <c r="AI278" s="77"/>
      <c r="AJ278" s="82" t="str">
        <f t="shared" si="22"/>
        <v/>
      </c>
      <c r="AK278" s="83" t="str">
        <f t="shared" si="23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0"/>
        <v/>
      </c>
      <c r="AE279" s="80" t="str">
        <f t="shared" si="21"/>
        <v/>
      </c>
      <c r="AF279" s="81"/>
      <c r="AG279" s="77"/>
      <c r="AH279" s="81"/>
      <c r="AI279" s="77"/>
      <c r="AJ279" s="82" t="str">
        <f t="shared" si="22"/>
        <v/>
      </c>
      <c r="AK279" s="83" t="str">
        <f t="shared" si="23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0"/>
        <v/>
      </c>
      <c r="AE280" s="80" t="str">
        <f t="shared" si="21"/>
        <v/>
      </c>
      <c r="AF280" s="81"/>
      <c r="AG280" s="77"/>
      <c r="AH280" s="81"/>
      <c r="AI280" s="77"/>
      <c r="AJ280" s="82" t="str">
        <f t="shared" si="22"/>
        <v/>
      </c>
      <c r="AK280" s="83" t="str">
        <f t="shared" si="23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0"/>
        <v/>
      </c>
      <c r="AE281" s="80" t="str">
        <f t="shared" si="21"/>
        <v/>
      </c>
      <c r="AF281" s="81"/>
      <c r="AG281" s="77"/>
      <c r="AH281" s="81"/>
      <c r="AI281" s="77"/>
      <c r="AJ281" s="82" t="str">
        <f t="shared" si="22"/>
        <v/>
      </c>
      <c r="AK281" s="83" t="str">
        <f t="shared" si="23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0"/>
        <v/>
      </c>
      <c r="AE282" s="80" t="str">
        <f t="shared" si="21"/>
        <v/>
      </c>
      <c r="AF282" s="81"/>
      <c r="AG282" s="77"/>
      <c r="AH282" s="81"/>
      <c r="AI282" s="77"/>
      <c r="AJ282" s="82" t="str">
        <f t="shared" si="22"/>
        <v/>
      </c>
      <c r="AK282" s="83" t="str">
        <f t="shared" si="23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0"/>
        <v/>
      </c>
      <c r="AE283" s="80" t="str">
        <f t="shared" si="21"/>
        <v/>
      </c>
      <c r="AF283" s="81"/>
      <c r="AG283" s="77"/>
      <c r="AH283" s="81"/>
      <c r="AI283" s="77"/>
      <c r="AJ283" s="82" t="str">
        <f t="shared" si="22"/>
        <v/>
      </c>
      <c r="AK283" s="83" t="str">
        <f t="shared" si="23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0"/>
        <v/>
      </c>
      <c r="AE284" s="80" t="str">
        <f t="shared" si="21"/>
        <v/>
      </c>
      <c r="AF284" s="81"/>
      <c r="AG284" s="77"/>
      <c r="AH284" s="81"/>
      <c r="AI284" s="77"/>
      <c r="AJ284" s="82" t="str">
        <f t="shared" si="22"/>
        <v/>
      </c>
      <c r="AK284" s="83" t="str">
        <f t="shared" si="23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0"/>
        <v/>
      </c>
      <c r="AE285" s="80" t="str">
        <f t="shared" si="21"/>
        <v/>
      </c>
      <c r="AF285" s="81"/>
      <c r="AG285" s="77"/>
      <c r="AH285" s="81"/>
      <c r="AI285" s="77"/>
      <c r="AJ285" s="82" t="str">
        <f t="shared" si="22"/>
        <v/>
      </c>
      <c r="AK285" s="83" t="str">
        <f t="shared" si="23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0"/>
        <v/>
      </c>
      <c r="AE286" s="80" t="str">
        <f t="shared" si="21"/>
        <v/>
      </c>
      <c r="AF286" s="81"/>
      <c r="AG286" s="77"/>
      <c r="AH286" s="81"/>
      <c r="AI286" s="77"/>
      <c r="AJ286" s="82" t="str">
        <f t="shared" si="22"/>
        <v/>
      </c>
      <c r="AK286" s="83" t="str">
        <f t="shared" si="23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0"/>
        <v/>
      </c>
      <c r="AE287" s="80" t="str">
        <f t="shared" si="21"/>
        <v/>
      </c>
      <c r="AF287" s="81"/>
      <c r="AG287" s="77"/>
      <c r="AH287" s="81"/>
      <c r="AI287" s="77"/>
      <c r="AJ287" s="82" t="str">
        <f t="shared" si="22"/>
        <v/>
      </c>
      <c r="AK287" s="83" t="str">
        <f t="shared" si="23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0"/>
        <v/>
      </c>
      <c r="AE288" s="80" t="str">
        <f t="shared" si="21"/>
        <v/>
      </c>
      <c r="AF288" s="81"/>
      <c r="AG288" s="77"/>
      <c r="AH288" s="81"/>
      <c r="AI288" s="77"/>
      <c r="AJ288" s="82" t="str">
        <f t="shared" si="22"/>
        <v/>
      </c>
      <c r="AK288" s="83" t="str">
        <f t="shared" si="23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0"/>
        <v/>
      </c>
      <c r="AE289" s="80" t="str">
        <f t="shared" si="21"/>
        <v/>
      </c>
      <c r="AF289" s="81"/>
      <c r="AG289" s="77"/>
      <c r="AH289" s="81"/>
      <c r="AI289" s="77"/>
      <c r="AJ289" s="82" t="str">
        <f t="shared" si="22"/>
        <v/>
      </c>
      <c r="AK289" s="83" t="str">
        <f t="shared" si="23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0"/>
        <v/>
      </c>
      <c r="AE290" s="80" t="str">
        <f t="shared" si="21"/>
        <v/>
      </c>
      <c r="AF290" s="81"/>
      <c r="AG290" s="77"/>
      <c r="AH290" s="81"/>
      <c r="AI290" s="77"/>
      <c r="AJ290" s="82" t="str">
        <f t="shared" si="22"/>
        <v/>
      </c>
      <c r="AK290" s="83" t="str">
        <f t="shared" si="23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0"/>
        <v/>
      </c>
      <c r="AE291" s="80" t="str">
        <f t="shared" si="21"/>
        <v/>
      </c>
      <c r="AF291" s="81"/>
      <c r="AG291" s="77"/>
      <c r="AH291" s="81"/>
      <c r="AI291" s="77"/>
      <c r="AJ291" s="82" t="str">
        <f t="shared" si="22"/>
        <v/>
      </c>
      <c r="AK291" s="83" t="str">
        <f t="shared" si="23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0"/>
        <v/>
      </c>
      <c r="AE292" s="80" t="str">
        <f t="shared" si="21"/>
        <v/>
      </c>
      <c r="AF292" s="81"/>
      <c r="AG292" s="77"/>
      <c r="AH292" s="81"/>
      <c r="AI292" s="77"/>
      <c r="AJ292" s="82" t="str">
        <f t="shared" si="22"/>
        <v/>
      </c>
      <c r="AK292" s="83" t="str">
        <f t="shared" si="23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0"/>
        <v/>
      </c>
      <c r="AE293" s="80" t="str">
        <f t="shared" si="21"/>
        <v/>
      </c>
      <c r="AF293" s="81"/>
      <c r="AG293" s="77"/>
      <c r="AH293" s="81"/>
      <c r="AI293" s="77"/>
      <c r="AJ293" s="82" t="str">
        <f t="shared" si="22"/>
        <v/>
      </c>
      <c r="AK293" s="83" t="str">
        <f t="shared" si="23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0"/>
        <v/>
      </c>
      <c r="AE294" s="80" t="str">
        <f t="shared" si="21"/>
        <v/>
      </c>
      <c r="AF294" s="81"/>
      <c r="AG294" s="77"/>
      <c r="AH294" s="81"/>
      <c r="AI294" s="77"/>
      <c r="AJ294" s="82" t="str">
        <f t="shared" si="22"/>
        <v/>
      </c>
      <c r="AK294" s="83" t="str">
        <f t="shared" si="23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0"/>
        <v/>
      </c>
      <c r="AE295" s="80" t="str">
        <f t="shared" si="21"/>
        <v/>
      </c>
      <c r="AF295" s="81"/>
      <c r="AG295" s="77"/>
      <c r="AH295" s="81"/>
      <c r="AI295" s="77"/>
      <c r="AJ295" s="82" t="str">
        <f t="shared" si="22"/>
        <v/>
      </c>
      <c r="AK295" s="83" t="str">
        <f t="shared" si="23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0"/>
        <v/>
      </c>
      <c r="AE296" s="80" t="str">
        <f t="shared" si="21"/>
        <v/>
      </c>
      <c r="AF296" s="81"/>
      <c r="AG296" s="77"/>
      <c r="AH296" s="81"/>
      <c r="AI296" s="77"/>
      <c r="AJ296" s="82" t="str">
        <f t="shared" si="22"/>
        <v/>
      </c>
      <c r="AK296" s="83" t="str">
        <f t="shared" si="23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0"/>
        <v/>
      </c>
      <c r="AE297" s="80" t="str">
        <f t="shared" si="21"/>
        <v/>
      </c>
      <c r="AF297" s="81"/>
      <c r="AG297" s="77"/>
      <c r="AH297" s="81"/>
      <c r="AI297" s="77"/>
      <c r="AJ297" s="82" t="str">
        <f t="shared" si="22"/>
        <v/>
      </c>
      <c r="AK297" s="83" t="str">
        <f t="shared" si="23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0"/>
        <v/>
      </c>
      <c r="AE298" s="80" t="str">
        <f t="shared" si="21"/>
        <v/>
      </c>
      <c r="AF298" s="81"/>
      <c r="AG298" s="77"/>
      <c r="AH298" s="81"/>
      <c r="AI298" s="77"/>
      <c r="AJ298" s="82" t="str">
        <f t="shared" si="22"/>
        <v/>
      </c>
      <c r="AK298" s="83" t="str">
        <f t="shared" si="23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0"/>
        <v/>
      </c>
      <c r="AE299" s="80" t="str">
        <f t="shared" si="21"/>
        <v/>
      </c>
      <c r="AF299" s="81"/>
      <c r="AG299" s="77"/>
      <c r="AH299" s="81"/>
      <c r="AI299" s="77"/>
      <c r="AJ299" s="82" t="str">
        <f t="shared" si="22"/>
        <v/>
      </c>
      <c r="AK299" s="83" t="str">
        <f t="shared" si="23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0"/>
        <v/>
      </c>
      <c r="AE300" s="80" t="str">
        <f t="shared" si="21"/>
        <v/>
      </c>
      <c r="AF300" s="81"/>
      <c r="AG300" s="77"/>
      <c r="AH300" s="81"/>
      <c r="AI300" s="77"/>
      <c r="AJ300" s="82" t="str">
        <f t="shared" si="22"/>
        <v/>
      </c>
      <c r="AK300" s="83" t="str">
        <f t="shared" si="23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0"/>
        <v/>
      </c>
      <c r="AE301" s="80" t="str">
        <f t="shared" si="21"/>
        <v/>
      </c>
      <c r="AF301" s="81"/>
      <c r="AG301" s="77"/>
      <c r="AH301" s="81"/>
      <c r="AI301" s="77"/>
      <c r="AJ301" s="82" t="str">
        <f t="shared" si="22"/>
        <v/>
      </c>
      <c r="AK301" s="83" t="str">
        <f t="shared" si="23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0"/>
        <v/>
      </c>
      <c r="AE302" s="80" t="str">
        <f t="shared" si="21"/>
        <v/>
      </c>
      <c r="AF302" s="81"/>
      <c r="AG302" s="77"/>
      <c r="AH302" s="81"/>
      <c r="AI302" s="77"/>
      <c r="AJ302" s="82" t="str">
        <f t="shared" si="22"/>
        <v/>
      </c>
      <c r="AK302" s="83" t="str">
        <f t="shared" si="23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0"/>
        <v/>
      </c>
      <c r="AE303" s="80" t="str">
        <f t="shared" si="21"/>
        <v/>
      </c>
      <c r="AF303" s="81"/>
      <c r="AG303" s="77"/>
      <c r="AH303" s="81"/>
      <c r="AI303" s="77"/>
      <c r="AJ303" s="82" t="str">
        <f t="shared" si="22"/>
        <v/>
      </c>
      <c r="AK303" s="83" t="str">
        <f t="shared" si="23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0"/>
        <v/>
      </c>
      <c r="AE304" s="80" t="str">
        <f t="shared" si="21"/>
        <v/>
      </c>
      <c r="AF304" s="81"/>
      <c r="AG304" s="77"/>
      <c r="AH304" s="81"/>
      <c r="AI304" s="77"/>
      <c r="AJ304" s="82" t="str">
        <f t="shared" si="22"/>
        <v/>
      </c>
      <c r="AK304" s="83" t="str">
        <f t="shared" si="23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0"/>
        <v/>
      </c>
      <c r="AE305" s="80" t="str">
        <f t="shared" si="21"/>
        <v/>
      </c>
      <c r="AF305" s="81"/>
      <c r="AG305" s="77"/>
      <c r="AH305" s="81"/>
      <c r="AI305" s="77"/>
      <c r="AJ305" s="82" t="str">
        <f t="shared" si="22"/>
        <v/>
      </c>
      <c r="AK305" s="83" t="str">
        <f t="shared" si="23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0"/>
        <v/>
      </c>
      <c r="AE306" s="80" t="str">
        <f t="shared" si="21"/>
        <v/>
      </c>
      <c r="AF306" s="81"/>
      <c r="AG306" s="77"/>
      <c r="AH306" s="81"/>
      <c r="AI306" s="77"/>
      <c r="AJ306" s="82" t="str">
        <f t="shared" si="22"/>
        <v/>
      </c>
      <c r="AK306" s="83" t="str">
        <f t="shared" si="23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0"/>
        <v/>
      </c>
      <c r="AE307" s="80" t="str">
        <f t="shared" si="21"/>
        <v/>
      </c>
      <c r="AF307" s="81"/>
      <c r="AG307" s="77"/>
      <c r="AH307" s="81"/>
      <c r="AI307" s="77"/>
      <c r="AJ307" s="82" t="str">
        <f t="shared" si="22"/>
        <v/>
      </c>
      <c r="AK307" s="83" t="str">
        <f t="shared" si="23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0"/>
        <v/>
      </c>
      <c r="AE308" s="80" t="str">
        <f t="shared" si="21"/>
        <v/>
      </c>
      <c r="AF308" s="81"/>
      <c r="AG308" s="77"/>
      <c r="AH308" s="81"/>
      <c r="AI308" s="77"/>
      <c r="AJ308" s="82" t="str">
        <f t="shared" si="22"/>
        <v/>
      </c>
      <c r="AK308" s="83" t="str">
        <f t="shared" si="23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0"/>
        <v/>
      </c>
      <c r="AE309" s="80" t="str">
        <f t="shared" si="21"/>
        <v/>
      </c>
      <c r="AF309" s="81"/>
      <c r="AG309" s="77"/>
      <c r="AH309" s="81"/>
      <c r="AI309" s="77"/>
      <c r="AJ309" s="82" t="str">
        <f t="shared" si="22"/>
        <v/>
      </c>
      <c r="AK309" s="83" t="str">
        <f t="shared" si="23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0"/>
        <v/>
      </c>
      <c r="AE310" s="80" t="str">
        <f t="shared" si="21"/>
        <v/>
      </c>
      <c r="AF310" s="81"/>
      <c r="AG310" s="77"/>
      <c r="AH310" s="81"/>
      <c r="AI310" s="77"/>
      <c r="AJ310" s="82" t="str">
        <f t="shared" si="22"/>
        <v/>
      </c>
      <c r="AK310" s="83" t="str">
        <f t="shared" si="23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0"/>
        <v/>
      </c>
      <c r="AE311" s="80" t="str">
        <f t="shared" si="21"/>
        <v/>
      </c>
      <c r="AF311" s="81"/>
      <c r="AG311" s="77"/>
      <c r="AH311" s="81"/>
      <c r="AI311" s="77"/>
      <c r="AJ311" s="82" t="str">
        <f t="shared" si="22"/>
        <v/>
      </c>
      <c r="AK311" s="83" t="str">
        <f t="shared" si="23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0"/>
        <v/>
      </c>
      <c r="AE312" s="80" t="str">
        <f t="shared" si="21"/>
        <v/>
      </c>
      <c r="AF312" s="81"/>
      <c r="AG312" s="77"/>
      <c r="AH312" s="81"/>
      <c r="AI312" s="77"/>
      <c r="AJ312" s="82" t="str">
        <f t="shared" si="22"/>
        <v/>
      </c>
      <c r="AK312" s="83" t="str">
        <f t="shared" si="23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0"/>
        <v/>
      </c>
      <c r="AE313" s="80" t="str">
        <f t="shared" si="21"/>
        <v/>
      </c>
      <c r="AF313" s="81"/>
      <c r="AG313" s="77"/>
      <c r="AH313" s="81"/>
      <c r="AI313" s="77"/>
      <c r="AJ313" s="82" t="str">
        <f t="shared" si="22"/>
        <v/>
      </c>
      <c r="AK313" s="83" t="str">
        <f t="shared" si="23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0"/>
        <v/>
      </c>
      <c r="AE314" s="80" t="str">
        <f t="shared" si="21"/>
        <v/>
      </c>
      <c r="AF314" s="81"/>
      <c r="AG314" s="77"/>
      <c r="AH314" s="81"/>
      <c r="AI314" s="77"/>
      <c r="AJ314" s="82" t="str">
        <f t="shared" si="22"/>
        <v/>
      </c>
      <c r="AK314" s="83" t="str">
        <f t="shared" si="23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0"/>
        <v/>
      </c>
      <c r="AE315" s="80" t="str">
        <f t="shared" si="21"/>
        <v/>
      </c>
      <c r="AF315" s="81"/>
      <c r="AG315" s="77"/>
      <c r="AH315" s="81"/>
      <c r="AI315" s="77"/>
      <c r="AJ315" s="82" t="str">
        <f t="shared" si="22"/>
        <v/>
      </c>
      <c r="AK315" s="83" t="str">
        <f t="shared" si="23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0"/>
        <v/>
      </c>
      <c r="AE316" s="80" t="str">
        <f t="shared" si="21"/>
        <v/>
      </c>
      <c r="AF316" s="81"/>
      <c r="AG316" s="77"/>
      <c r="AH316" s="81"/>
      <c r="AI316" s="77"/>
      <c r="AJ316" s="82" t="str">
        <f t="shared" si="22"/>
        <v/>
      </c>
      <c r="AK316" s="83" t="str">
        <f t="shared" si="23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0"/>
        <v/>
      </c>
      <c r="AE317" s="80" t="str">
        <f t="shared" si="21"/>
        <v/>
      </c>
      <c r="AF317" s="81"/>
      <c r="AG317" s="77"/>
      <c r="AH317" s="81"/>
      <c r="AI317" s="77"/>
      <c r="AJ317" s="82" t="str">
        <f t="shared" si="22"/>
        <v/>
      </c>
      <c r="AK317" s="83" t="str">
        <f t="shared" si="23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0"/>
        <v/>
      </c>
      <c r="AE318" s="80" t="str">
        <f t="shared" si="21"/>
        <v/>
      </c>
      <c r="AF318" s="81"/>
      <c r="AG318" s="77"/>
      <c r="AH318" s="81"/>
      <c r="AI318" s="77"/>
      <c r="AJ318" s="82" t="str">
        <f t="shared" si="22"/>
        <v/>
      </c>
      <c r="AK318" s="83" t="str">
        <f t="shared" si="23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0"/>
        <v/>
      </c>
      <c r="AE319" s="80" t="str">
        <f t="shared" si="21"/>
        <v/>
      </c>
      <c r="AF319" s="81"/>
      <c r="AG319" s="77"/>
      <c r="AH319" s="81"/>
      <c r="AI319" s="77"/>
      <c r="AJ319" s="82" t="str">
        <f t="shared" si="22"/>
        <v/>
      </c>
      <c r="AK319" s="83" t="str">
        <f t="shared" si="23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0"/>
        <v/>
      </c>
      <c r="AE320" s="80" t="str">
        <f t="shared" si="21"/>
        <v/>
      </c>
      <c r="AF320" s="81"/>
      <c r="AG320" s="77"/>
      <c r="AH320" s="81"/>
      <c r="AI320" s="77"/>
      <c r="AJ320" s="82" t="str">
        <f t="shared" si="22"/>
        <v/>
      </c>
      <c r="AK320" s="83" t="str">
        <f t="shared" si="23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0"/>
        <v/>
      </c>
      <c r="AE321" s="80" t="str">
        <f t="shared" si="21"/>
        <v/>
      </c>
      <c r="AF321" s="81"/>
      <c r="AG321" s="77"/>
      <c r="AH321" s="81"/>
      <c r="AI321" s="77"/>
      <c r="AJ321" s="82" t="str">
        <f t="shared" si="22"/>
        <v/>
      </c>
      <c r="AK321" s="83" t="str">
        <f t="shared" si="23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0"/>
        <v/>
      </c>
      <c r="AE322" s="80" t="str">
        <f t="shared" si="21"/>
        <v/>
      </c>
      <c r="AF322" s="81"/>
      <c r="AG322" s="77"/>
      <c r="AH322" s="81"/>
      <c r="AI322" s="77"/>
      <c r="AJ322" s="82" t="str">
        <f t="shared" si="22"/>
        <v/>
      </c>
      <c r="AK322" s="83" t="str">
        <f t="shared" si="23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0"/>
        <v/>
      </c>
      <c r="AE323" s="80" t="str">
        <f t="shared" si="21"/>
        <v/>
      </c>
      <c r="AF323" s="81"/>
      <c r="AG323" s="77"/>
      <c r="AH323" s="81"/>
      <c r="AI323" s="77"/>
      <c r="AJ323" s="82" t="str">
        <f t="shared" si="22"/>
        <v/>
      </c>
      <c r="AK323" s="83" t="str">
        <f t="shared" si="23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4">IF(MIN(F324,J324,N324,R324,V324,Z324)&lt;&gt;0,MIN(F324,J324,N324,R324,V324,Z324),"")</f>
        <v/>
      </c>
      <c r="AE324" s="80" t="str">
        <f t="shared" ref="AE324:AE350" si="25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26">IF(AD324="","",IF(ISBLANK(AF324),"En cours",AD324+AF324))</f>
        <v/>
      </c>
      <c r="AK324" s="83" t="str">
        <f t="shared" ref="AK324:AK350" si="27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4"/>
        <v/>
      </c>
      <c r="AE325" s="80" t="str">
        <f t="shared" si="25"/>
        <v/>
      </c>
      <c r="AF325" s="81"/>
      <c r="AG325" s="77"/>
      <c r="AH325" s="81"/>
      <c r="AI325" s="77"/>
      <c r="AJ325" s="82" t="str">
        <f t="shared" si="26"/>
        <v/>
      </c>
      <c r="AK325" s="83" t="str">
        <f t="shared" si="27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4"/>
        <v/>
      </c>
      <c r="AE326" s="80" t="str">
        <f t="shared" si="25"/>
        <v/>
      </c>
      <c r="AF326" s="81"/>
      <c r="AG326" s="77"/>
      <c r="AH326" s="81"/>
      <c r="AI326" s="77"/>
      <c r="AJ326" s="82" t="str">
        <f t="shared" si="26"/>
        <v/>
      </c>
      <c r="AK326" s="83" t="str">
        <f t="shared" si="27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4"/>
        <v/>
      </c>
      <c r="AE327" s="80" t="str">
        <f t="shared" si="25"/>
        <v/>
      </c>
      <c r="AF327" s="81"/>
      <c r="AG327" s="77"/>
      <c r="AH327" s="81"/>
      <c r="AI327" s="77"/>
      <c r="AJ327" s="82" t="str">
        <f t="shared" si="26"/>
        <v/>
      </c>
      <c r="AK327" s="83" t="str">
        <f t="shared" si="27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4"/>
        <v/>
      </c>
      <c r="AE328" s="80" t="str">
        <f t="shared" si="25"/>
        <v/>
      </c>
      <c r="AF328" s="81"/>
      <c r="AG328" s="77"/>
      <c r="AH328" s="81"/>
      <c r="AI328" s="77"/>
      <c r="AJ328" s="82" t="str">
        <f t="shared" si="26"/>
        <v/>
      </c>
      <c r="AK328" s="83" t="str">
        <f t="shared" si="27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4"/>
        <v/>
      </c>
      <c r="AE329" s="80" t="str">
        <f t="shared" si="25"/>
        <v/>
      </c>
      <c r="AF329" s="81"/>
      <c r="AG329" s="77"/>
      <c r="AH329" s="81"/>
      <c r="AI329" s="77"/>
      <c r="AJ329" s="82" t="str">
        <f t="shared" si="26"/>
        <v/>
      </c>
      <c r="AK329" s="83" t="str">
        <f t="shared" si="27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4"/>
        <v/>
      </c>
      <c r="AE330" s="80" t="str">
        <f t="shared" si="25"/>
        <v/>
      </c>
      <c r="AF330" s="81"/>
      <c r="AG330" s="77"/>
      <c r="AH330" s="81"/>
      <c r="AI330" s="77"/>
      <c r="AJ330" s="82" t="str">
        <f t="shared" si="26"/>
        <v/>
      </c>
      <c r="AK330" s="83" t="str">
        <f t="shared" si="27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4"/>
        <v/>
      </c>
      <c r="AE331" s="80" t="str">
        <f t="shared" si="25"/>
        <v/>
      </c>
      <c r="AF331" s="81"/>
      <c r="AG331" s="77"/>
      <c r="AH331" s="81"/>
      <c r="AI331" s="77"/>
      <c r="AJ331" s="82" t="str">
        <f t="shared" si="26"/>
        <v/>
      </c>
      <c r="AK331" s="83" t="str">
        <f t="shared" si="27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4"/>
        <v/>
      </c>
      <c r="AE332" s="80" t="str">
        <f t="shared" si="25"/>
        <v/>
      </c>
      <c r="AF332" s="81"/>
      <c r="AG332" s="77"/>
      <c r="AH332" s="81"/>
      <c r="AI332" s="77"/>
      <c r="AJ332" s="82" t="str">
        <f t="shared" si="26"/>
        <v/>
      </c>
      <c r="AK332" s="83" t="str">
        <f t="shared" si="27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4"/>
        <v/>
      </c>
      <c r="AE333" s="80" t="str">
        <f t="shared" si="25"/>
        <v/>
      </c>
      <c r="AF333" s="81"/>
      <c r="AG333" s="77"/>
      <c r="AH333" s="81"/>
      <c r="AI333" s="77"/>
      <c r="AJ333" s="82" t="str">
        <f t="shared" si="26"/>
        <v/>
      </c>
      <c r="AK333" s="83" t="str">
        <f t="shared" si="27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4"/>
        <v/>
      </c>
      <c r="AE334" s="80" t="str">
        <f t="shared" si="25"/>
        <v/>
      </c>
      <c r="AF334" s="81"/>
      <c r="AG334" s="77"/>
      <c r="AH334" s="81"/>
      <c r="AI334" s="77"/>
      <c r="AJ334" s="82" t="str">
        <f t="shared" si="26"/>
        <v/>
      </c>
      <c r="AK334" s="83" t="str">
        <f t="shared" si="27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4"/>
        <v/>
      </c>
      <c r="AE335" s="80" t="str">
        <f t="shared" si="25"/>
        <v/>
      </c>
      <c r="AF335" s="81"/>
      <c r="AG335" s="77"/>
      <c r="AH335" s="81"/>
      <c r="AI335" s="77"/>
      <c r="AJ335" s="82" t="str">
        <f t="shared" si="26"/>
        <v/>
      </c>
      <c r="AK335" s="83" t="str">
        <f t="shared" si="27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4"/>
        <v/>
      </c>
      <c r="AE336" s="80" t="str">
        <f t="shared" si="25"/>
        <v/>
      </c>
      <c r="AF336" s="81"/>
      <c r="AG336" s="77"/>
      <c r="AH336" s="81"/>
      <c r="AI336" s="77"/>
      <c r="AJ336" s="82" t="str">
        <f t="shared" si="26"/>
        <v/>
      </c>
      <c r="AK336" s="83" t="str">
        <f t="shared" si="27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4"/>
        <v/>
      </c>
      <c r="AE337" s="80" t="str">
        <f t="shared" si="25"/>
        <v/>
      </c>
      <c r="AF337" s="81"/>
      <c r="AG337" s="77"/>
      <c r="AH337" s="81"/>
      <c r="AI337" s="77"/>
      <c r="AJ337" s="82" t="str">
        <f t="shared" si="26"/>
        <v/>
      </c>
      <c r="AK337" s="83" t="str">
        <f t="shared" si="27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4"/>
        <v/>
      </c>
      <c r="AE338" s="80" t="str">
        <f t="shared" si="25"/>
        <v/>
      </c>
      <c r="AF338" s="81"/>
      <c r="AG338" s="77"/>
      <c r="AH338" s="81"/>
      <c r="AI338" s="77"/>
      <c r="AJ338" s="82" t="str">
        <f t="shared" si="26"/>
        <v/>
      </c>
      <c r="AK338" s="83" t="str">
        <f t="shared" si="27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4"/>
        <v/>
      </c>
      <c r="AE339" s="80" t="str">
        <f t="shared" si="25"/>
        <v/>
      </c>
      <c r="AF339" s="81"/>
      <c r="AG339" s="77"/>
      <c r="AH339" s="81"/>
      <c r="AI339" s="77"/>
      <c r="AJ339" s="82" t="str">
        <f t="shared" si="26"/>
        <v/>
      </c>
      <c r="AK339" s="83" t="str">
        <f t="shared" si="27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4"/>
        <v/>
      </c>
      <c r="AE340" s="80" t="str">
        <f t="shared" si="25"/>
        <v/>
      </c>
      <c r="AF340" s="81"/>
      <c r="AG340" s="77"/>
      <c r="AH340" s="81"/>
      <c r="AI340" s="77"/>
      <c r="AJ340" s="82" t="str">
        <f t="shared" si="26"/>
        <v/>
      </c>
      <c r="AK340" s="83" t="str">
        <f t="shared" si="27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4"/>
        <v/>
      </c>
      <c r="AE341" s="80" t="str">
        <f t="shared" si="25"/>
        <v/>
      </c>
      <c r="AF341" s="81"/>
      <c r="AG341" s="77"/>
      <c r="AH341" s="81"/>
      <c r="AI341" s="77"/>
      <c r="AJ341" s="82" t="str">
        <f t="shared" si="26"/>
        <v/>
      </c>
      <c r="AK341" s="83" t="str">
        <f t="shared" si="27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4"/>
        <v/>
      </c>
      <c r="AE342" s="80" t="str">
        <f t="shared" si="25"/>
        <v/>
      </c>
      <c r="AF342" s="81"/>
      <c r="AG342" s="77"/>
      <c r="AH342" s="81"/>
      <c r="AI342" s="77"/>
      <c r="AJ342" s="82" t="str">
        <f t="shared" si="26"/>
        <v/>
      </c>
      <c r="AK342" s="83" t="str">
        <f t="shared" si="27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4"/>
        <v/>
      </c>
      <c r="AE343" s="80" t="str">
        <f t="shared" si="25"/>
        <v/>
      </c>
      <c r="AF343" s="81"/>
      <c r="AG343" s="77"/>
      <c r="AH343" s="81"/>
      <c r="AI343" s="77"/>
      <c r="AJ343" s="82" t="str">
        <f t="shared" si="26"/>
        <v/>
      </c>
      <c r="AK343" s="83" t="str">
        <f t="shared" si="27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4"/>
        <v/>
      </c>
      <c r="AE344" s="80" t="str">
        <f t="shared" si="25"/>
        <v/>
      </c>
      <c r="AF344" s="81"/>
      <c r="AG344" s="77"/>
      <c r="AH344" s="81"/>
      <c r="AI344" s="77"/>
      <c r="AJ344" s="82" t="str">
        <f t="shared" si="26"/>
        <v/>
      </c>
      <c r="AK344" s="83" t="str">
        <f t="shared" si="27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4"/>
        <v/>
      </c>
      <c r="AE345" s="80" t="str">
        <f t="shared" si="25"/>
        <v/>
      </c>
      <c r="AF345" s="81"/>
      <c r="AG345" s="77"/>
      <c r="AH345" s="81"/>
      <c r="AI345" s="77"/>
      <c r="AJ345" s="82" t="str">
        <f t="shared" si="26"/>
        <v/>
      </c>
      <c r="AK345" s="83" t="str">
        <f t="shared" si="27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4"/>
        <v/>
      </c>
      <c r="AE346" s="80" t="str">
        <f t="shared" si="25"/>
        <v/>
      </c>
      <c r="AF346" s="81"/>
      <c r="AG346" s="77"/>
      <c r="AH346" s="81"/>
      <c r="AI346" s="77"/>
      <c r="AJ346" s="82" t="str">
        <f t="shared" si="26"/>
        <v/>
      </c>
      <c r="AK346" s="83" t="str">
        <f t="shared" si="27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4"/>
        <v/>
      </c>
      <c r="AE347" s="80" t="str">
        <f t="shared" si="25"/>
        <v/>
      </c>
      <c r="AF347" s="81"/>
      <c r="AG347" s="77"/>
      <c r="AH347" s="81"/>
      <c r="AI347" s="77"/>
      <c r="AJ347" s="82" t="str">
        <f t="shared" si="26"/>
        <v/>
      </c>
      <c r="AK347" s="83" t="str">
        <f t="shared" si="27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4"/>
        <v/>
      </c>
      <c r="AE348" s="80" t="str">
        <f t="shared" si="25"/>
        <v/>
      </c>
      <c r="AF348" s="81"/>
      <c r="AG348" s="77"/>
      <c r="AH348" s="81"/>
      <c r="AI348" s="77"/>
      <c r="AJ348" s="82" t="str">
        <f t="shared" si="26"/>
        <v/>
      </c>
      <c r="AK348" s="83" t="str">
        <f t="shared" si="27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4"/>
        <v/>
      </c>
      <c r="AE349" s="80" t="str">
        <f t="shared" si="25"/>
        <v/>
      </c>
      <c r="AF349" s="81"/>
      <c r="AG349" s="77"/>
      <c r="AH349" s="81"/>
      <c r="AI349" s="77"/>
      <c r="AJ349" s="82" t="str">
        <f t="shared" si="26"/>
        <v/>
      </c>
      <c r="AK349" s="83" t="str">
        <f t="shared" si="27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4"/>
        <v/>
      </c>
      <c r="AE350" s="80" t="str">
        <f t="shared" si="25"/>
        <v/>
      </c>
      <c r="AF350" s="81"/>
      <c r="AG350" s="77"/>
      <c r="AH350" s="81"/>
      <c r="AI350" s="77"/>
      <c r="AJ350" s="82" t="str">
        <f t="shared" si="26"/>
        <v/>
      </c>
      <c r="AK350" s="83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178">
    <cfRule type="cellIs" dxfId="835" priority="19757" stopIfTrue="1" operator="equal">
      <formula>"En cours"</formula>
    </cfRule>
  </conditionalFormatting>
  <conditionalFormatting sqref="AJ178">
    <cfRule type="cellIs" dxfId="834" priority="19758" stopIfTrue="1" operator="notEqual">
      <formula>"En cours"</formula>
    </cfRule>
  </conditionalFormatting>
  <conditionalFormatting sqref="AK178">
    <cfRule type="cellIs" dxfId="833" priority="19759" stopIfTrue="1" operator="equal">
      <formula>"En cours"</formula>
    </cfRule>
  </conditionalFormatting>
  <conditionalFormatting sqref="AK178">
    <cfRule type="cellIs" dxfId="832" priority="19760" stopIfTrue="1" operator="notEqual">
      <formula>"En cours"</formula>
    </cfRule>
  </conditionalFormatting>
  <conditionalFormatting sqref="AJ177">
    <cfRule type="cellIs" dxfId="831" priority="20525" stopIfTrue="1" operator="equal">
      <formula>"En cours"</formula>
    </cfRule>
  </conditionalFormatting>
  <conditionalFormatting sqref="AJ177">
    <cfRule type="cellIs" dxfId="830" priority="20526" stopIfTrue="1" operator="notEqual">
      <formula>"En cours"</formula>
    </cfRule>
  </conditionalFormatting>
  <conditionalFormatting sqref="AK177">
    <cfRule type="cellIs" dxfId="829" priority="20527" stopIfTrue="1" operator="equal">
      <formula>"En cours"</formula>
    </cfRule>
  </conditionalFormatting>
  <conditionalFormatting sqref="AK177">
    <cfRule type="cellIs" dxfId="828" priority="20528" stopIfTrue="1" operator="notEqual">
      <formula>"En cours"</formula>
    </cfRule>
  </conditionalFormatting>
  <conditionalFormatting sqref="AJ176">
    <cfRule type="cellIs" dxfId="827" priority="20733" stopIfTrue="1" operator="equal">
      <formula>"En cours"</formula>
    </cfRule>
  </conditionalFormatting>
  <conditionalFormatting sqref="AJ176">
    <cfRule type="cellIs" dxfId="826" priority="20734" stopIfTrue="1" operator="notEqual">
      <formula>"En cours"</formula>
    </cfRule>
  </conditionalFormatting>
  <conditionalFormatting sqref="AK176">
    <cfRule type="cellIs" dxfId="825" priority="20735" stopIfTrue="1" operator="equal">
      <formula>"En cours"</formula>
    </cfRule>
  </conditionalFormatting>
  <conditionalFormatting sqref="AK176">
    <cfRule type="cellIs" dxfId="824" priority="20736" stopIfTrue="1" operator="notEqual">
      <formula>"En cours"</formula>
    </cfRule>
  </conditionalFormatting>
  <conditionalFormatting sqref="AJ179">
    <cfRule type="cellIs" dxfId="823" priority="20981" stopIfTrue="1" operator="equal">
      <formula>"En cours"</formula>
    </cfRule>
  </conditionalFormatting>
  <conditionalFormatting sqref="AJ179">
    <cfRule type="cellIs" dxfId="822" priority="20982" stopIfTrue="1" operator="notEqual">
      <formula>"En cours"</formula>
    </cfRule>
  </conditionalFormatting>
  <conditionalFormatting sqref="AK179">
    <cfRule type="cellIs" dxfId="821" priority="20983" stopIfTrue="1" operator="equal">
      <formula>"En cours"</formula>
    </cfRule>
  </conditionalFormatting>
  <conditionalFormatting sqref="AK179">
    <cfRule type="cellIs" dxfId="820" priority="20984" stopIfTrue="1" operator="notEqual">
      <formula>"En cours"</formula>
    </cfRule>
  </conditionalFormatting>
  <conditionalFormatting sqref="AJ139">
    <cfRule type="cellIs" dxfId="819" priority="46473" stopIfTrue="1" operator="equal">
      <formula>"En cours"</formula>
    </cfRule>
  </conditionalFormatting>
  <conditionalFormatting sqref="AJ139">
    <cfRule type="cellIs" dxfId="818" priority="46474" stopIfTrue="1" operator="notEqual">
      <formula>"En cours"</formula>
    </cfRule>
  </conditionalFormatting>
  <conditionalFormatting sqref="AK139">
    <cfRule type="cellIs" dxfId="817" priority="46475" stopIfTrue="1" operator="equal">
      <formula>"En cours"</formula>
    </cfRule>
  </conditionalFormatting>
  <conditionalFormatting sqref="AK139">
    <cfRule type="cellIs" dxfId="816" priority="46476" stopIfTrue="1" operator="notEqual">
      <formula>"En cours"</formula>
    </cfRule>
  </conditionalFormatting>
  <conditionalFormatting sqref="AJ134">
    <cfRule type="cellIs" dxfId="815" priority="46573" stopIfTrue="1" operator="equal">
      <formula>"En cours"</formula>
    </cfRule>
  </conditionalFormatting>
  <conditionalFormatting sqref="AJ134">
    <cfRule type="cellIs" dxfId="814" priority="46574" stopIfTrue="1" operator="notEqual">
      <formula>"En cours"</formula>
    </cfRule>
  </conditionalFormatting>
  <conditionalFormatting sqref="AK134">
    <cfRule type="cellIs" dxfId="813" priority="46575" stopIfTrue="1" operator="equal">
      <formula>"En cours"</formula>
    </cfRule>
  </conditionalFormatting>
  <conditionalFormatting sqref="AK134">
    <cfRule type="cellIs" dxfId="812" priority="46576" stopIfTrue="1" operator="notEqual">
      <formula>"En cours"</formula>
    </cfRule>
  </conditionalFormatting>
  <conditionalFormatting sqref="AJ162">
    <cfRule type="cellIs" dxfId="811" priority="47081" stopIfTrue="1" operator="equal">
      <formula>"En cours"</formula>
    </cfRule>
  </conditionalFormatting>
  <conditionalFormatting sqref="AJ162">
    <cfRule type="cellIs" dxfId="810" priority="47082" stopIfTrue="1" operator="notEqual">
      <formula>"En cours"</formula>
    </cfRule>
  </conditionalFormatting>
  <conditionalFormatting sqref="AK162">
    <cfRule type="cellIs" dxfId="809" priority="47083" stopIfTrue="1" operator="equal">
      <formula>"En cours"</formula>
    </cfRule>
  </conditionalFormatting>
  <conditionalFormatting sqref="AK162">
    <cfRule type="cellIs" dxfId="808" priority="47084" stopIfTrue="1" operator="notEqual">
      <formula>"En cours"</formula>
    </cfRule>
  </conditionalFormatting>
  <conditionalFormatting sqref="AJ126">
    <cfRule type="cellIs" dxfId="807" priority="47129" stopIfTrue="1" operator="equal">
      <formula>"En cours"</formula>
    </cfRule>
  </conditionalFormatting>
  <conditionalFormatting sqref="AJ126">
    <cfRule type="cellIs" dxfId="806" priority="47130" stopIfTrue="1" operator="notEqual">
      <formula>"En cours"</formula>
    </cfRule>
  </conditionalFormatting>
  <conditionalFormatting sqref="AK126">
    <cfRule type="cellIs" dxfId="805" priority="47131" stopIfTrue="1" operator="equal">
      <formula>"En cours"</formula>
    </cfRule>
  </conditionalFormatting>
  <conditionalFormatting sqref="AK126">
    <cfRule type="cellIs" dxfId="804" priority="47132" stopIfTrue="1" operator="notEqual">
      <formula>"En cours"</formula>
    </cfRule>
  </conditionalFormatting>
  <conditionalFormatting sqref="AJ148">
    <cfRule type="cellIs" dxfId="803" priority="47169" stopIfTrue="1" operator="equal">
      <formula>"En cours"</formula>
    </cfRule>
  </conditionalFormatting>
  <conditionalFormatting sqref="AJ148">
    <cfRule type="cellIs" dxfId="802" priority="47170" stopIfTrue="1" operator="notEqual">
      <formula>"En cours"</formula>
    </cfRule>
  </conditionalFormatting>
  <conditionalFormatting sqref="AK148">
    <cfRule type="cellIs" dxfId="801" priority="47171" stopIfTrue="1" operator="equal">
      <formula>"En cours"</formula>
    </cfRule>
  </conditionalFormatting>
  <conditionalFormatting sqref="AK148">
    <cfRule type="cellIs" dxfId="800" priority="47172" stopIfTrue="1" operator="notEqual">
      <formula>"En cours"</formula>
    </cfRule>
  </conditionalFormatting>
  <conditionalFormatting sqref="AJ154">
    <cfRule type="cellIs" dxfId="799" priority="47221" stopIfTrue="1" operator="equal">
      <formula>"En cours"</formula>
    </cfRule>
  </conditionalFormatting>
  <conditionalFormatting sqref="AJ154">
    <cfRule type="cellIs" dxfId="798" priority="47222" stopIfTrue="1" operator="notEqual">
      <formula>"En cours"</formula>
    </cfRule>
  </conditionalFormatting>
  <conditionalFormatting sqref="AK154">
    <cfRule type="cellIs" dxfId="797" priority="47223" stopIfTrue="1" operator="equal">
      <formula>"En cours"</formula>
    </cfRule>
  </conditionalFormatting>
  <conditionalFormatting sqref="AK154">
    <cfRule type="cellIs" dxfId="796" priority="47224" stopIfTrue="1" operator="notEqual">
      <formula>"En cours"</formula>
    </cfRule>
  </conditionalFormatting>
  <conditionalFormatting sqref="AJ116">
    <cfRule type="cellIs" dxfId="795" priority="47237" stopIfTrue="1" operator="equal">
      <formula>"En cours"</formula>
    </cfRule>
  </conditionalFormatting>
  <conditionalFormatting sqref="AJ116">
    <cfRule type="cellIs" dxfId="794" priority="47238" stopIfTrue="1" operator="notEqual">
      <formula>"En cours"</formula>
    </cfRule>
  </conditionalFormatting>
  <conditionalFormatting sqref="AK116">
    <cfRule type="cellIs" dxfId="793" priority="47239" stopIfTrue="1" operator="equal">
      <formula>"En cours"</formula>
    </cfRule>
  </conditionalFormatting>
  <conditionalFormatting sqref="AK116">
    <cfRule type="cellIs" dxfId="792" priority="47240" stopIfTrue="1" operator="notEqual">
      <formula>"En cours"</formula>
    </cfRule>
  </conditionalFormatting>
  <conditionalFormatting sqref="AJ106">
    <cfRule type="cellIs" dxfId="791" priority="47249" stopIfTrue="1" operator="equal">
      <formula>"En cours"</formula>
    </cfRule>
  </conditionalFormatting>
  <conditionalFormatting sqref="AJ106">
    <cfRule type="cellIs" dxfId="790" priority="47250" stopIfTrue="1" operator="notEqual">
      <formula>"En cours"</formula>
    </cfRule>
  </conditionalFormatting>
  <conditionalFormatting sqref="AK106">
    <cfRule type="cellIs" dxfId="789" priority="47251" stopIfTrue="1" operator="equal">
      <formula>"En cours"</formula>
    </cfRule>
  </conditionalFormatting>
  <conditionalFormatting sqref="AK106">
    <cfRule type="cellIs" dxfId="788" priority="47252" stopIfTrue="1" operator="notEqual">
      <formula>"En cours"</formula>
    </cfRule>
  </conditionalFormatting>
  <conditionalFormatting sqref="AJ133">
    <cfRule type="cellIs" dxfId="787" priority="47253" stopIfTrue="1" operator="equal">
      <formula>"En cours"</formula>
    </cfRule>
  </conditionalFormatting>
  <conditionalFormatting sqref="AJ133">
    <cfRule type="cellIs" dxfId="786" priority="47254" stopIfTrue="1" operator="notEqual">
      <formula>"En cours"</formula>
    </cfRule>
  </conditionalFormatting>
  <conditionalFormatting sqref="AK133">
    <cfRule type="cellIs" dxfId="785" priority="47255" stopIfTrue="1" operator="equal">
      <formula>"En cours"</formula>
    </cfRule>
  </conditionalFormatting>
  <conditionalFormatting sqref="AK133">
    <cfRule type="cellIs" dxfId="784" priority="47256" stopIfTrue="1" operator="notEqual">
      <formula>"En cours"</formula>
    </cfRule>
  </conditionalFormatting>
  <conditionalFormatting sqref="AJ107">
    <cfRule type="cellIs" dxfId="783" priority="47273" stopIfTrue="1" operator="equal">
      <formula>"En cours"</formula>
    </cfRule>
  </conditionalFormatting>
  <conditionalFormatting sqref="AJ107">
    <cfRule type="cellIs" dxfId="782" priority="47274" stopIfTrue="1" operator="notEqual">
      <formula>"En cours"</formula>
    </cfRule>
  </conditionalFormatting>
  <conditionalFormatting sqref="AK107">
    <cfRule type="cellIs" dxfId="781" priority="47275" stopIfTrue="1" operator="equal">
      <formula>"En cours"</formula>
    </cfRule>
  </conditionalFormatting>
  <conditionalFormatting sqref="AK107">
    <cfRule type="cellIs" dxfId="780" priority="47276" stopIfTrue="1" operator="notEqual">
      <formula>"En cours"</formula>
    </cfRule>
  </conditionalFormatting>
  <conditionalFormatting sqref="AJ125">
    <cfRule type="cellIs" dxfId="779" priority="47285" stopIfTrue="1" operator="equal">
      <formula>"En cours"</formula>
    </cfRule>
  </conditionalFormatting>
  <conditionalFormatting sqref="AJ125">
    <cfRule type="cellIs" dxfId="778" priority="47286" stopIfTrue="1" operator="notEqual">
      <formula>"En cours"</formula>
    </cfRule>
  </conditionalFormatting>
  <conditionalFormatting sqref="AK125">
    <cfRule type="cellIs" dxfId="777" priority="47287" stopIfTrue="1" operator="equal">
      <formula>"En cours"</formula>
    </cfRule>
  </conditionalFormatting>
  <conditionalFormatting sqref="AK125">
    <cfRule type="cellIs" dxfId="776" priority="47288" stopIfTrue="1" operator="notEqual">
      <formula>"En cours"</formula>
    </cfRule>
  </conditionalFormatting>
  <conditionalFormatting sqref="AJ112">
    <cfRule type="cellIs" dxfId="775" priority="47301" stopIfTrue="1" operator="equal">
      <formula>"En cours"</formula>
    </cfRule>
  </conditionalFormatting>
  <conditionalFormatting sqref="AJ112">
    <cfRule type="cellIs" dxfId="774" priority="47302" stopIfTrue="1" operator="notEqual">
      <formula>"En cours"</formula>
    </cfRule>
  </conditionalFormatting>
  <conditionalFormatting sqref="AK112">
    <cfRule type="cellIs" dxfId="773" priority="47303" stopIfTrue="1" operator="equal">
      <formula>"En cours"</formula>
    </cfRule>
  </conditionalFormatting>
  <conditionalFormatting sqref="AK112">
    <cfRule type="cellIs" dxfId="772" priority="47304" stopIfTrue="1" operator="notEqual">
      <formula>"En cours"</formula>
    </cfRule>
  </conditionalFormatting>
  <conditionalFormatting sqref="AJ172">
    <cfRule type="cellIs" dxfId="771" priority="47313" stopIfTrue="1" operator="equal">
      <formula>"En cours"</formula>
    </cfRule>
  </conditionalFormatting>
  <conditionalFormatting sqref="AJ172">
    <cfRule type="cellIs" dxfId="770" priority="47314" stopIfTrue="1" operator="notEqual">
      <formula>"En cours"</formula>
    </cfRule>
  </conditionalFormatting>
  <conditionalFormatting sqref="AK172">
    <cfRule type="cellIs" dxfId="769" priority="47315" stopIfTrue="1" operator="equal">
      <formula>"En cours"</formula>
    </cfRule>
  </conditionalFormatting>
  <conditionalFormatting sqref="AK172">
    <cfRule type="cellIs" dxfId="768" priority="47316" stopIfTrue="1" operator="notEqual">
      <formula>"En cours"</formula>
    </cfRule>
  </conditionalFormatting>
  <conditionalFormatting sqref="AJ118">
    <cfRule type="cellIs" dxfId="767" priority="47673" stopIfTrue="1" operator="equal">
      <formula>"En cours"</formula>
    </cfRule>
  </conditionalFormatting>
  <conditionalFormatting sqref="AJ118">
    <cfRule type="cellIs" dxfId="766" priority="47674" stopIfTrue="1" operator="notEqual">
      <formula>"En cours"</formula>
    </cfRule>
  </conditionalFormatting>
  <conditionalFormatting sqref="AK118">
    <cfRule type="cellIs" dxfId="765" priority="47675" stopIfTrue="1" operator="equal">
      <formula>"En cours"</formula>
    </cfRule>
  </conditionalFormatting>
  <conditionalFormatting sqref="AK118">
    <cfRule type="cellIs" dxfId="764" priority="47676" stopIfTrue="1" operator="notEqual">
      <formula>"En cours"</formula>
    </cfRule>
  </conditionalFormatting>
  <conditionalFormatting sqref="AJ165">
    <cfRule type="cellIs" dxfId="763" priority="47705" stopIfTrue="1" operator="equal">
      <formula>"En cours"</formula>
    </cfRule>
  </conditionalFormatting>
  <conditionalFormatting sqref="AJ165">
    <cfRule type="cellIs" dxfId="762" priority="47706" stopIfTrue="1" operator="notEqual">
      <formula>"En cours"</formula>
    </cfRule>
  </conditionalFormatting>
  <conditionalFormatting sqref="AK165">
    <cfRule type="cellIs" dxfId="761" priority="47707" stopIfTrue="1" operator="equal">
      <formula>"En cours"</formula>
    </cfRule>
  </conditionalFormatting>
  <conditionalFormatting sqref="AK165">
    <cfRule type="cellIs" dxfId="760" priority="47708" stopIfTrue="1" operator="notEqual">
      <formula>"En cours"</formula>
    </cfRule>
  </conditionalFormatting>
  <conditionalFormatting sqref="AJ164">
    <cfRule type="cellIs" dxfId="759" priority="47733" stopIfTrue="1" operator="equal">
      <formula>"En cours"</formula>
    </cfRule>
  </conditionalFormatting>
  <conditionalFormatting sqref="AJ164">
    <cfRule type="cellIs" dxfId="758" priority="47734" stopIfTrue="1" operator="notEqual">
      <formula>"En cours"</formula>
    </cfRule>
  </conditionalFormatting>
  <conditionalFormatting sqref="AK164">
    <cfRule type="cellIs" dxfId="757" priority="47735" stopIfTrue="1" operator="equal">
      <formula>"En cours"</formula>
    </cfRule>
  </conditionalFormatting>
  <conditionalFormatting sqref="AK164">
    <cfRule type="cellIs" dxfId="756" priority="47736" stopIfTrue="1" operator="notEqual">
      <formula>"En cours"</formula>
    </cfRule>
  </conditionalFormatting>
  <conditionalFormatting sqref="AJ150">
    <cfRule type="cellIs" dxfId="755" priority="47745" stopIfTrue="1" operator="equal">
      <formula>"En cours"</formula>
    </cfRule>
  </conditionalFormatting>
  <conditionalFormatting sqref="AJ150">
    <cfRule type="cellIs" dxfId="754" priority="47746" stopIfTrue="1" operator="notEqual">
      <formula>"En cours"</formula>
    </cfRule>
  </conditionalFormatting>
  <conditionalFormatting sqref="AK150">
    <cfRule type="cellIs" dxfId="753" priority="47747" stopIfTrue="1" operator="equal">
      <formula>"En cours"</formula>
    </cfRule>
  </conditionalFormatting>
  <conditionalFormatting sqref="AK150">
    <cfRule type="cellIs" dxfId="752" priority="47748" stopIfTrue="1" operator="notEqual">
      <formula>"En cours"</formula>
    </cfRule>
  </conditionalFormatting>
  <conditionalFormatting sqref="AJ173">
    <cfRule type="cellIs" dxfId="751" priority="47805" stopIfTrue="1" operator="equal">
      <formula>"En cours"</formula>
    </cfRule>
  </conditionalFormatting>
  <conditionalFormatting sqref="AJ173">
    <cfRule type="cellIs" dxfId="750" priority="47806" stopIfTrue="1" operator="notEqual">
      <formula>"En cours"</formula>
    </cfRule>
  </conditionalFormatting>
  <conditionalFormatting sqref="AK173">
    <cfRule type="cellIs" dxfId="749" priority="47807" stopIfTrue="1" operator="equal">
      <formula>"En cours"</formula>
    </cfRule>
  </conditionalFormatting>
  <conditionalFormatting sqref="AK173">
    <cfRule type="cellIs" dxfId="748" priority="47808" stopIfTrue="1" operator="notEqual">
      <formula>"En cours"</formula>
    </cfRule>
  </conditionalFormatting>
  <conditionalFormatting sqref="AJ168">
    <cfRule type="cellIs" dxfId="747" priority="48149" stopIfTrue="1" operator="equal">
      <formula>"En cours"</formula>
    </cfRule>
  </conditionalFormatting>
  <conditionalFormatting sqref="AJ168">
    <cfRule type="cellIs" dxfId="746" priority="48150" stopIfTrue="1" operator="notEqual">
      <formula>"En cours"</formula>
    </cfRule>
  </conditionalFormatting>
  <conditionalFormatting sqref="AK168">
    <cfRule type="cellIs" dxfId="745" priority="48151" stopIfTrue="1" operator="equal">
      <formula>"En cours"</formula>
    </cfRule>
  </conditionalFormatting>
  <conditionalFormatting sqref="AK168">
    <cfRule type="cellIs" dxfId="744" priority="48152" stopIfTrue="1" operator="notEqual">
      <formula>"En cours"</formula>
    </cfRule>
  </conditionalFormatting>
  <conditionalFormatting sqref="AJ145">
    <cfRule type="cellIs" dxfId="743" priority="48253" stopIfTrue="1" operator="equal">
      <formula>"En cours"</formula>
    </cfRule>
  </conditionalFormatting>
  <conditionalFormatting sqref="AJ145">
    <cfRule type="cellIs" dxfId="742" priority="48254" stopIfTrue="1" operator="notEqual">
      <formula>"En cours"</formula>
    </cfRule>
  </conditionalFormatting>
  <conditionalFormatting sqref="AK145">
    <cfRule type="cellIs" dxfId="741" priority="48255" stopIfTrue="1" operator="equal">
      <formula>"En cours"</formula>
    </cfRule>
  </conditionalFormatting>
  <conditionalFormatting sqref="AK145">
    <cfRule type="cellIs" dxfId="740" priority="48256" stopIfTrue="1" operator="notEqual">
      <formula>"En cours"</formula>
    </cfRule>
  </conditionalFormatting>
  <conditionalFormatting sqref="AJ149">
    <cfRule type="cellIs" dxfId="739" priority="48689" stopIfTrue="1" operator="equal">
      <formula>"En cours"</formula>
    </cfRule>
  </conditionalFormatting>
  <conditionalFormatting sqref="AJ149">
    <cfRule type="cellIs" dxfId="738" priority="48690" stopIfTrue="1" operator="notEqual">
      <formula>"En cours"</formula>
    </cfRule>
  </conditionalFormatting>
  <conditionalFormatting sqref="AK149">
    <cfRule type="cellIs" dxfId="737" priority="48691" stopIfTrue="1" operator="equal">
      <formula>"En cours"</formula>
    </cfRule>
  </conditionalFormatting>
  <conditionalFormatting sqref="AK149">
    <cfRule type="cellIs" dxfId="736" priority="48692" stopIfTrue="1" operator="notEqual">
      <formula>"En cours"</formula>
    </cfRule>
  </conditionalFormatting>
  <conditionalFormatting sqref="AJ127">
    <cfRule type="cellIs" dxfId="735" priority="48757" stopIfTrue="1" operator="equal">
      <formula>"En cours"</formula>
    </cfRule>
  </conditionalFormatting>
  <conditionalFormatting sqref="AJ127">
    <cfRule type="cellIs" dxfId="734" priority="48758" stopIfTrue="1" operator="notEqual">
      <formula>"En cours"</formula>
    </cfRule>
  </conditionalFormatting>
  <conditionalFormatting sqref="AK127">
    <cfRule type="cellIs" dxfId="733" priority="48759" stopIfTrue="1" operator="equal">
      <formula>"En cours"</formula>
    </cfRule>
  </conditionalFormatting>
  <conditionalFormatting sqref="AK127">
    <cfRule type="cellIs" dxfId="732" priority="48760" stopIfTrue="1" operator="notEqual">
      <formula>"En cours"</formula>
    </cfRule>
  </conditionalFormatting>
  <conditionalFormatting sqref="AJ122">
    <cfRule type="cellIs" dxfId="731" priority="48765" stopIfTrue="1" operator="equal">
      <formula>"En cours"</formula>
    </cfRule>
  </conditionalFormatting>
  <conditionalFormatting sqref="AJ122">
    <cfRule type="cellIs" dxfId="730" priority="48766" stopIfTrue="1" operator="notEqual">
      <formula>"En cours"</formula>
    </cfRule>
  </conditionalFormatting>
  <conditionalFormatting sqref="AK122">
    <cfRule type="cellIs" dxfId="729" priority="48767" stopIfTrue="1" operator="equal">
      <formula>"En cours"</formula>
    </cfRule>
  </conditionalFormatting>
  <conditionalFormatting sqref="AK122">
    <cfRule type="cellIs" dxfId="728" priority="48768" stopIfTrue="1" operator="notEqual">
      <formula>"En cours"</formula>
    </cfRule>
  </conditionalFormatting>
  <conditionalFormatting sqref="AJ123">
    <cfRule type="cellIs" dxfId="727" priority="48769" stopIfTrue="1" operator="equal">
      <formula>"En cours"</formula>
    </cfRule>
  </conditionalFormatting>
  <conditionalFormatting sqref="AJ123">
    <cfRule type="cellIs" dxfId="726" priority="48770" stopIfTrue="1" operator="notEqual">
      <formula>"En cours"</formula>
    </cfRule>
  </conditionalFormatting>
  <conditionalFormatting sqref="AK123">
    <cfRule type="cellIs" dxfId="725" priority="48771" stopIfTrue="1" operator="equal">
      <formula>"En cours"</formula>
    </cfRule>
  </conditionalFormatting>
  <conditionalFormatting sqref="AK123">
    <cfRule type="cellIs" dxfId="724" priority="48772" stopIfTrue="1" operator="notEqual">
      <formula>"En cours"</formula>
    </cfRule>
  </conditionalFormatting>
  <conditionalFormatting sqref="AJ132">
    <cfRule type="cellIs" dxfId="723" priority="48777" stopIfTrue="1" operator="equal">
      <formula>"En cours"</formula>
    </cfRule>
  </conditionalFormatting>
  <conditionalFormatting sqref="AJ132">
    <cfRule type="cellIs" dxfId="722" priority="48778" stopIfTrue="1" operator="notEqual">
      <formula>"En cours"</formula>
    </cfRule>
  </conditionalFormatting>
  <conditionalFormatting sqref="AK132">
    <cfRule type="cellIs" dxfId="721" priority="48779" stopIfTrue="1" operator="equal">
      <formula>"En cours"</formula>
    </cfRule>
  </conditionalFormatting>
  <conditionalFormatting sqref="AK132">
    <cfRule type="cellIs" dxfId="720" priority="48780" stopIfTrue="1" operator="notEqual">
      <formula>"En cours"</formula>
    </cfRule>
  </conditionalFormatting>
  <conditionalFormatting sqref="AJ159">
    <cfRule type="cellIs" dxfId="719" priority="48789" stopIfTrue="1" operator="equal">
      <formula>"En cours"</formula>
    </cfRule>
  </conditionalFormatting>
  <conditionalFormatting sqref="AJ159">
    <cfRule type="cellIs" dxfId="718" priority="48790" stopIfTrue="1" operator="notEqual">
      <formula>"En cours"</formula>
    </cfRule>
  </conditionalFormatting>
  <conditionalFormatting sqref="AK159">
    <cfRule type="cellIs" dxfId="717" priority="48791" stopIfTrue="1" operator="equal">
      <formula>"En cours"</formula>
    </cfRule>
  </conditionalFormatting>
  <conditionalFormatting sqref="AK159">
    <cfRule type="cellIs" dxfId="716" priority="48792" stopIfTrue="1" operator="notEqual">
      <formula>"En cours"</formula>
    </cfRule>
  </conditionalFormatting>
  <conditionalFormatting sqref="AJ136">
    <cfRule type="cellIs" dxfId="715" priority="48825" stopIfTrue="1" operator="equal">
      <formula>"En cours"</formula>
    </cfRule>
  </conditionalFormatting>
  <conditionalFormatting sqref="AJ136">
    <cfRule type="cellIs" dxfId="714" priority="48826" stopIfTrue="1" operator="notEqual">
      <formula>"En cours"</formula>
    </cfRule>
  </conditionalFormatting>
  <conditionalFormatting sqref="AK136">
    <cfRule type="cellIs" dxfId="713" priority="48827" stopIfTrue="1" operator="equal">
      <formula>"En cours"</formula>
    </cfRule>
  </conditionalFormatting>
  <conditionalFormatting sqref="AK136">
    <cfRule type="cellIs" dxfId="712" priority="48828" stopIfTrue="1" operator="notEqual">
      <formula>"En cours"</formula>
    </cfRule>
  </conditionalFormatting>
  <conditionalFormatting sqref="AJ120">
    <cfRule type="cellIs" dxfId="711" priority="48829" stopIfTrue="1" operator="equal">
      <formula>"En cours"</formula>
    </cfRule>
  </conditionalFormatting>
  <conditionalFormatting sqref="AJ120">
    <cfRule type="cellIs" dxfId="710" priority="48830" stopIfTrue="1" operator="notEqual">
      <formula>"En cours"</formula>
    </cfRule>
  </conditionalFormatting>
  <conditionalFormatting sqref="AK120">
    <cfRule type="cellIs" dxfId="709" priority="48831" stopIfTrue="1" operator="equal">
      <formula>"En cours"</formula>
    </cfRule>
  </conditionalFormatting>
  <conditionalFormatting sqref="AK120">
    <cfRule type="cellIs" dxfId="708" priority="48832" stopIfTrue="1" operator="notEqual">
      <formula>"En cours"</formula>
    </cfRule>
  </conditionalFormatting>
  <conditionalFormatting sqref="AJ157">
    <cfRule type="cellIs" dxfId="707" priority="48845" stopIfTrue="1" operator="equal">
      <formula>"En cours"</formula>
    </cfRule>
  </conditionalFormatting>
  <conditionalFormatting sqref="AJ157">
    <cfRule type="cellIs" dxfId="706" priority="48846" stopIfTrue="1" operator="notEqual">
      <formula>"En cours"</formula>
    </cfRule>
  </conditionalFormatting>
  <conditionalFormatting sqref="AK157">
    <cfRule type="cellIs" dxfId="705" priority="48847" stopIfTrue="1" operator="equal">
      <formula>"En cours"</formula>
    </cfRule>
  </conditionalFormatting>
  <conditionalFormatting sqref="AK157">
    <cfRule type="cellIs" dxfId="704" priority="48848" stopIfTrue="1" operator="notEqual">
      <formula>"En cours"</formula>
    </cfRule>
  </conditionalFormatting>
  <conditionalFormatting sqref="AJ144">
    <cfRule type="cellIs" dxfId="703" priority="48865" stopIfTrue="1" operator="equal">
      <formula>"En cours"</formula>
    </cfRule>
  </conditionalFormatting>
  <conditionalFormatting sqref="AJ144">
    <cfRule type="cellIs" dxfId="702" priority="48866" stopIfTrue="1" operator="notEqual">
      <formula>"En cours"</formula>
    </cfRule>
  </conditionalFormatting>
  <conditionalFormatting sqref="AK144">
    <cfRule type="cellIs" dxfId="701" priority="48867" stopIfTrue="1" operator="equal">
      <formula>"En cours"</formula>
    </cfRule>
  </conditionalFormatting>
  <conditionalFormatting sqref="AK144">
    <cfRule type="cellIs" dxfId="700" priority="48868" stopIfTrue="1" operator="notEqual">
      <formula>"En cours"</formula>
    </cfRule>
  </conditionalFormatting>
  <conditionalFormatting sqref="AJ174">
    <cfRule type="cellIs" dxfId="699" priority="48877" stopIfTrue="1" operator="equal">
      <formula>"En cours"</formula>
    </cfRule>
  </conditionalFormatting>
  <conditionalFormatting sqref="AJ174">
    <cfRule type="cellIs" dxfId="698" priority="48878" stopIfTrue="1" operator="notEqual">
      <formula>"En cours"</formula>
    </cfRule>
  </conditionalFormatting>
  <conditionalFormatting sqref="AK174">
    <cfRule type="cellIs" dxfId="697" priority="48879" stopIfTrue="1" operator="equal">
      <formula>"En cours"</formula>
    </cfRule>
  </conditionalFormatting>
  <conditionalFormatting sqref="AK174">
    <cfRule type="cellIs" dxfId="696" priority="48880" stopIfTrue="1" operator="notEqual">
      <formula>"En cours"</formula>
    </cfRule>
  </conditionalFormatting>
  <conditionalFormatting sqref="AJ119">
    <cfRule type="cellIs" dxfId="695" priority="48901" stopIfTrue="1" operator="equal">
      <formula>"En cours"</formula>
    </cfRule>
  </conditionalFormatting>
  <conditionalFormatting sqref="AJ119">
    <cfRule type="cellIs" dxfId="694" priority="48902" stopIfTrue="1" operator="notEqual">
      <formula>"En cours"</formula>
    </cfRule>
  </conditionalFormatting>
  <conditionalFormatting sqref="AK119">
    <cfRule type="cellIs" dxfId="693" priority="48903" stopIfTrue="1" operator="equal">
      <formula>"En cours"</formula>
    </cfRule>
  </conditionalFormatting>
  <conditionalFormatting sqref="AK119">
    <cfRule type="cellIs" dxfId="692" priority="48904" stopIfTrue="1" operator="notEqual">
      <formula>"En cours"</formula>
    </cfRule>
  </conditionalFormatting>
  <conditionalFormatting sqref="AJ169">
    <cfRule type="cellIs" dxfId="691" priority="48933" stopIfTrue="1" operator="equal">
      <formula>"En cours"</formula>
    </cfRule>
  </conditionalFormatting>
  <conditionalFormatting sqref="AJ169">
    <cfRule type="cellIs" dxfId="690" priority="48934" stopIfTrue="1" operator="notEqual">
      <formula>"En cours"</formula>
    </cfRule>
  </conditionalFormatting>
  <conditionalFormatting sqref="AK169">
    <cfRule type="cellIs" dxfId="689" priority="48935" stopIfTrue="1" operator="equal">
      <formula>"En cours"</formula>
    </cfRule>
  </conditionalFormatting>
  <conditionalFormatting sqref="AK169">
    <cfRule type="cellIs" dxfId="688" priority="48936" stopIfTrue="1" operator="notEqual">
      <formula>"En cours"</formula>
    </cfRule>
  </conditionalFormatting>
  <conditionalFormatting sqref="AJ170">
    <cfRule type="cellIs" dxfId="687" priority="48937" stopIfTrue="1" operator="equal">
      <formula>"En cours"</formula>
    </cfRule>
  </conditionalFormatting>
  <conditionalFormatting sqref="AJ170">
    <cfRule type="cellIs" dxfId="686" priority="48938" stopIfTrue="1" operator="notEqual">
      <formula>"En cours"</formula>
    </cfRule>
  </conditionalFormatting>
  <conditionalFormatting sqref="AK170">
    <cfRule type="cellIs" dxfId="685" priority="48939" stopIfTrue="1" operator="equal">
      <formula>"En cours"</formula>
    </cfRule>
  </conditionalFormatting>
  <conditionalFormatting sqref="AK170">
    <cfRule type="cellIs" dxfId="684" priority="48940" stopIfTrue="1" operator="notEqual">
      <formula>"En cours"</formula>
    </cfRule>
  </conditionalFormatting>
  <conditionalFormatting sqref="AJ156">
    <cfRule type="cellIs" dxfId="683" priority="49401" stopIfTrue="1" operator="equal">
      <formula>"En cours"</formula>
    </cfRule>
  </conditionalFormatting>
  <conditionalFormatting sqref="AJ156">
    <cfRule type="cellIs" dxfId="682" priority="49402" stopIfTrue="1" operator="notEqual">
      <formula>"En cours"</formula>
    </cfRule>
  </conditionalFormatting>
  <conditionalFormatting sqref="AK156">
    <cfRule type="cellIs" dxfId="681" priority="49403" stopIfTrue="1" operator="equal">
      <formula>"En cours"</formula>
    </cfRule>
  </conditionalFormatting>
  <conditionalFormatting sqref="AK156">
    <cfRule type="cellIs" dxfId="680" priority="49404" stopIfTrue="1" operator="notEqual">
      <formula>"En cours"</formula>
    </cfRule>
  </conditionalFormatting>
  <conditionalFormatting sqref="AJ147">
    <cfRule type="cellIs" dxfId="679" priority="49405" stopIfTrue="1" operator="equal">
      <formula>"En cours"</formula>
    </cfRule>
  </conditionalFormatting>
  <conditionalFormatting sqref="AJ147">
    <cfRule type="cellIs" dxfId="678" priority="49406" stopIfTrue="1" operator="notEqual">
      <formula>"En cours"</formula>
    </cfRule>
  </conditionalFormatting>
  <conditionalFormatting sqref="AK147">
    <cfRule type="cellIs" dxfId="677" priority="49407" stopIfTrue="1" operator="equal">
      <formula>"En cours"</formula>
    </cfRule>
  </conditionalFormatting>
  <conditionalFormatting sqref="AK147">
    <cfRule type="cellIs" dxfId="676" priority="49408" stopIfTrue="1" operator="notEqual">
      <formula>"En cours"</formula>
    </cfRule>
  </conditionalFormatting>
  <conditionalFormatting sqref="AJ108">
    <cfRule type="cellIs" dxfId="675" priority="49409" stopIfTrue="1" operator="equal">
      <formula>"En cours"</formula>
    </cfRule>
  </conditionalFormatting>
  <conditionalFormatting sqref="AJ108">
    <cfRule type="cellIs" dxfId="674" priority="49410" stopIfTrue="1" operator="notEqual">
      <formula>"En cours"</formula>
    </cfRule>
  </conditionalFormatting>
  <conditionalFormatting sqref="AK108">
    <cfRule type="cellIs" dxfId="673" priority="49411" stopIfTrue="1" operator="equal">
      <formula>"En cours"</formula>
    </cfRule>
  </conditionalFormatting>
  <conditionalFormatting sqref="AK108">
    <cfRule type="cellIs" dxfId="672" priority="49412" stopIfTrue="1" operator="notEqual">
      <formula>"En cours"</formula>
    </cfRule>
  </conditionalFormatting>
  <conditionalFormatting sqref="AJ153">
    <cfRule type="cellIs" dxfId="671" priority="49421" stopIfTrue="1" operator="equal">
      <formula>"En cours"</formula>
    </cfRule>
  </conditionalFormatting>
  <conditionalFormatting sqref="AJ153">
    <cfRule type="cellIs" dxfId="670" priority="49422" stopIfTrue="1" operator="notEqual">
      <formula>"En cours"</formula>
    </cfRule>
  </conditionalFormatting>
  <conditionalFormatting sqref="AK153">
    <cfRule type="cellIs" dxfId="669" priority="49423" stopIfTrue="1" operator="equal">
      <formula>"En cours"</formula>
    </cfRule>
  </conditionalFormatting>
  <conditionalFormatting sqref="AK153">
    <cfRule type="cellIs" dxfId="668" priority="49424" stopIfTrue="1" operator="notEqual">
      <formula>"En cours"</formula>
    </cfRule>
  </conditionalFormatting>
  <conditionalFormatting sqref="AJ130">
    <cfRule type="cellIs" dxfId="667" priority="49437" stopIfTrue="1" operator="equal">
      <formula>"En cours"</formula>
    </cfRule>
  </conditionalFormatting>
  <conditionalFormatting sqref="AJ130">
    <cfRule type="cellIs" dxfId="666" priority="49438" stopIfTrue="1" operator="notEqual">
      <formula>"En cours"</formula>
    </cfRule>
  </conditionalFormatting>
  <conditionalFormatting sqref="AK130">
    <cfRule type="cellIs" dxfId="665" priority="49439" stopIfTrue="1" operator="equal">
      <formula>"En cours"</formula>
    </cfRule>
  </conditionalFormatting>
  <conditionalFormatting sqref="AK130">
    <cfRule type="cellIs" dxfId="664" priority="49440" stopIfTrue="1" operator="notEqual">
      <formula>"En cours"</formula>
    </cfRule>
  </conditionalFormatting>
  <conditionalFormatting sqref="AJ115">
    <cfRule type="cellIs" dxfId="663" priority="49441" stopIfTrue="1" operator="equal">
      <formula>"En cours"</formula>
    </cfRule>
  </conditionalFormatting>
  <conditionalFormatting sqref="AJ115">
    <cfRule type="cellIs" dxfId="662" priority="49442" stopIfTrue="1" operator="notEqual">
      <formula>"En cours"</formula>
    </cfRule>
  </conditionalFormatting>
  <conditionalFormatting sqref="AK115">
    <cfRule type="cellIs" dxfId="661" priority="49443" stopIfTrue="1" operator="equal">
      <formula>"En cours"</formula>
    </cfRule>
  </conditionalFormatting>
  <conditionalFormatting sqref="AK115">
    <cfRule type="cellIs" dxfId="660" priority="49444" stopIfTrue="1" operator="notEqual">
      <formula>"En cours"</formula>
    </cfRule>
  </conditionalFormatting>
  <conditionalFormatting sqref="AJ111">
    <cfRule type="cellIs" dxfId="659" priority="49445" stopIfTrue="1" operator="equal">
      <formula>"En cours"</formula>
    </cfRule>
  </conditionalFormatting>
  <conditionalFormatting sqref="AJ111">
    <cfRule type="cellIs" dxfId="658" priority="49446" stopIfTrue="1" operator="notEqual">
      <formula>"En cours"</formula>
    </cfRule>
  </conditionalFormatting>
  <conditionalFormatting sqref="AK111">
    <cfRule type="cellIs" dxfId="657" priority="49447" stopIfTrue="1" operator="equal">
      <formula>"En cours"</formula>
    </cfRule>
  </conditionalFormatting>
  <conditionalFormatting sqref="AK111">
    <cfRule type="cellIs" dxfId="656" priority="49448" stopIfTrue="1" operator="notEqual">
      <formula>"En cours"</formula>
    </cfRule>
  </conditionalFormatting>
  <conditionalFormatting sqref="AJ138">
    <cfRule type="cellIs" dxfId="655" priority="49449" stopIfTrue="1" operator="equal">
      <formula>"En cours"</formula>
    </cfRule>
  </conditionalFormatting>
  <conditionalFormatting sqref="AJ138">
    <cfRule type="cellIs" dxfId="654" priority="49450" stopIfTrue="1" operator="notEqual">
      <formula>"En cours"</formula>
    </cfRule>
  </conditionalFormatting>
  <conditionalFormatting sqref="AK138">
    <cfRule type="cellIs" dxfId="653" priority="49451" stopIfTrue="1" operator="equal">
      <formula>"En cours"</formula>
    </cfRule>
  </conditionalFormatting>
  <conditionalFormatting sqref="AK138">
    <cfRule type="cellIs" dxfId="652" priority="49452" stopIfTrue="1" operator="notEqual">
      <formula>"En cours"</formula>
    </cfRule>
  </conditionalFormatting>
  <conditionalFormatting sqref="AJ142">
    <cfRule type="cellIs" dxfId="651" priority="49461" stopIfTrue="1" operator="equal">
      <formula>"En cours"</formula>
    </cfRule>
  </conditionalFormatting>
  <conditionalFormatting sqref="AJ142">
    <cfRule type="cellIs" dxfId="650" priority="49462" stopIfTrue="1" operator="notEqual">
      <formula>"En cours"</formula>
    </cfRule>
  </conditionalFormatting>
  <conditionalFormatting sqref="AK142">
    <cfRule type="cellIs" dxfId="649" priority="49463" stopIfTrue="1" operator="equal">
      <formula>"En cours"</formula>
    </cfRule>
  </conditionalFormatting>
  <conditionalFormatting sqref="AK142">
    <cfRule type="cellIs" dxfId="648" priority="49464" stopIfTrue="1" operator="notEqual">
      <formula>"En cours"</formula>
    </cfRule>
  </conditionalFormatting>
  <conditionalFormatting sqref="AJ129">
    <cfRule type="cellIs" dxfId="647" priority="49465" stopIfTrue="1" operator="equal">
      <formula>"En cours"</formula>
    </cfRule>
  </conditionalFormatting>
  <conditionalFormatting sqref="AJ129">
    <cfRule type="cellIs" dxfId="646" priority="49466" stopIfTrue="1" operator="notEqual">
      <formula>"En cours"</formula>
    </cfRule>
  </conditionalFormatting>
  <conditionalFormatting sqref="AK129">
    <cfRule type="cellIs" dxfId="645" priority="49467" stopIfTrue="1" operator="equal">
      <formula>"En cours"</formula>
    </cfRule>
  </conditionalFormatting>
  <conditionalFormatting sqref="AK129">
    <cfRule type="cellIs" dxfId="644" priority="49468" stopIfTrue="1" operator="notEqual">
      <formula>"En cours"</formula>
    </cfRule>
  </conditionalFormatting>
  <conditionalFormatting sqref="AJ167">
    <cfRule type="cellIs" dxfId="643" priority="49477" stopIfTrue="1" operator="equal">
      <formula>"En cours"</formula>
    </cfRule>
  </conditionalFormatting>
  <conditionalFormatting sqref="AJ167">
    <cfRule type="cellIs" dxfId="642" priority="49478" stopIfTrue="1" operator="notEqual">
      <formula>"En cours"</formula>
    </cfRule>
  </conditionalFormatting>
  <conditionalFormatting sqref="AK167">
    <cfRule type="cellIs" dxfId="641" priority="49479" stopIfTrue="1" operator="equal">
      <formula>"En cours"</formula>
    </cfRule>
  </conditionalFormatting>
  <conditionalFormatting sqref="AK167">
    <cfRule type="cellIs" dxfId="640" priority="49480" stopIfTrue="1" operator="notEqual">
      <formula>"En cours"</formula>
    </cfRule>
  </conditionalFormatting>
  <conditionalFormatting sqref="AJ146">
    <cfRule type="cellIs" dxfId="639" priority="49481" stopIfTrue="1" operator="equal">
      <formula>"En cours"</formula>
    </cfRule>
  </conditionalFormatting>
  <conditionalFormatting sqref="AJ146">
    <cfRule type="cellIs" dxfId="638" priority="49482" stopIfTrue="1" operator="notEqual">
      <formula>"En cours"</formula>
    </cfRule>
  </conditionalFormatting>
  <conditionalFormatting sqref="AK146">
    <cfRule type="cellIs" dxfId="637" priority="49483" stopIfTrue="1" operator="equal">
      <formula>"En cours"</formula>
    </cfRule>
  </conditionalFormatting>
  <conditionalFormatting sqref="AK146">
    <cfRule type="cellIs" dxfId="636" priority="49484" stopIfTrue="1" operator="notEqual">
      <formula>"En cours"</formula>
    </cfRule>
  </conditionalFormatting>
  <conditionalFormatting sqref="AJ151">
    <cfRule type="cellIs" dxfId="635" priority="49489" stopIfTrue="1" operator="equal">
      <formula>"En cours"</formula>
    </cfRule>
  </conditionalFormatting>
  <conditionalFormatting sqref="AJ151">
    <cfRule type="cellIs" dxfId="634" priority="49490" stopIfTrue="1" operator="notEqual">
      <formula>"En cours"</formula>
    </cfRule>
  </conditionalFormatting>
  <conditionalFormatting sqref="AK151">
    <cfRule type="cellIs" dxfId="633" priority="49491" stopIfTrue="1" operator="equal">
      <formula>"En cours"</formula>
    </cfRule>
  </conditionalFormatting>
  <conditionalFormatting sqref="AK151">
    <cfRule type="cellIs" dxfId="632" priority="49492" stopIfTrue="1" operator="notEqual">
      <formula>"En cours"</formula>
    </cfRule>
  </conditionalFormatting>
  <conditionalFormatting sqref="AJ163">
    <cfRule type="cellIs" dxfId="631" priority="49493" stopIfTrue="1" operator="equal">
      <formula>"En cours"</formula>
    </cfRule>
  </conditionalFormatting>
  <conditionalFormatting sqref="AJ163">
    <cfRule type="cellIs" dxfId="630" priority="49494" stopIfTrue="1" operator="notEqual">
      <formula>"En cours"</formula>
    </cfRule>
  </conditionalFormatting>
  <conditionalFormatting sqref="AK163">
    <cfRule type="cellIs" dxfId="629" priority="49495" stopIfTrue="1" operator="equal">
      <formula>"En cours"</formula>
    </cfRule>
  </conditionalFormatting>
  <conditionalFormatting sqref="AK163">
    <cfRule type="cellIs" dxfId="628" priority="49496" stopIfTrue="1" operator="notEqual">
      <formula>"En cours"</formula>
    </cfRule>
  </conditionalFormatting>
  <conditionalFormatting sqref="AJ124">
    <cfRule type="cellIs" dxfId="627" priority="49501" stopIfTrue="1" operator="equal">
      <formula>"En cours"</formula>
    </cfRule>
  </conditionalFormatting>
  <conditionalFormatting sqref="AJ124">
    <cfRule type="cellIs" dxfId="626" priority="49502" stopIfTrue="1" operator="notEqual">
      <formula>"En cours"</formula>
    </cfRule>
  </conditionalFormatting>
  <conditionalFormatting sqref="AK124">
    <cfRule type="cellIs" dxfId="625" priority="49503" stopIfTrue="1" operator="equal">
      <formula>"En cours"</formula>
    </cfRule>
  </conditionalFormatting>
  <conditionalFormatting sqref="AK124">
    <cfRule type="cellIs" dxfId="624" priority="49504" stopIfTrue="1" operator="notEqual">
      <formula>"En cours"</formula>
    </cfRule>
  </conditionalFormatting>
  <conditionalFormatting sqref="AJ161">
    <cfRule type="cellIs" dxfId="623" priority="49505" stopIfTrue="1" operator="equal">
      <formula>"En cours"</formula>
    </cfRule>
  </conditionalFormatting>
  <conditionalFormatting sqref="AJ161">
    <cfRule type="cellIs" dxfId="622" priority="49506" stopIfTrue="1" operator="notEqual">
      <formula>"En cours"</formula>
    </cfRule>
  </conditionalFormatting>
  <conditionalFormatting sqref="AK161">
    <cfRule type="cellIs" dxfId="621" priority="49507" stopIfTrue="1" operator="equal">
      <formula>"En cours"</formula>
    </cfRule>
  </conditionalFormatting>
  <conditionalFormatting sqref="AK161">
    <cfRule type="cellIs" dxfId="620" priority="49508" stopIfTrue="1" operator="notEqual">
      <formula>"En cours"</formula>
    </cfRule>
  </conditionalFormatting>
  <conditionalFormatting sqref="AJ110">
    <cfRule type="cellIs" dxfId="619" priority="49521" stopIfTrue="1" operator="equal">
      <formula>"En cours"</formula>
    </cfRule>
  </conditionalFormatting>
  <conditionalFormatting sqref="AJ110">
    <cfRule type="cellIs" dxfId="618" priority="49522" stopIfTrue="1" operator="notEqual">
      <formula>"En cours"</formula>
    </cfRule>
  </conditionalFormatting>
  <conditionalFormatting sqref="AK110">
    <cfRule type="cellIs" dxfId="617" priority="49523" stopIfTrue="1" operator="equal">
      <formula>"En cours"</formula>
    </cfRule>
  </conditionalFormatting>
  <conditionalFormatting sqref="AK110">
    <cfRule type="cellIs" dxfId="616" priority="49524" stopIfTrue="1" operator="notEqual">
      <formula>"En cours"</formula>
    </cfRule>
  </conditionalFormatting>
  <conditionalFormatting sqref="AJ158">
    <cfRule type="cellIs" dxfId="615" priority="49529" stopIfTrue="1" operator="equal">
      <formula>"En cours"</formula>
    </cfRule>
  </conditionalFormatting>
  <conditionalFormatting sqref="AJ158">
    <cfRule type="cellIs" dxfId="614" priority="49530" stopIfTrue="1" operator="notEqual">
      <formula>"En cours"</formula>
    </cfRule>
  </conditionalFormatting>
  <conditionalFormatting sqref="AK158">
    <cfRule type="cellIs" dxfId="613" priority="49531" stopIfTrue="1" operator="equal">
      <formula>"En cours"</formula>
    </cfRule>
  </conditionalFormatting>
  <conditionalFormatting sqref="AK158">
    <cfRule type="cellIs" dxfId="612" priority="49532" stopIfTrue="1" operator="notEqual">
      <formula>"En cours"</formula>
    </cfRule>
  </conditionalFormatting>
  <conditionalFormatting sqref="AJ140">
    <cfRule type="cellIs" dxfId="611" priority="49533" stopIfTrue="1" operator="equal">
      <formula>"En cours"</formula>
    </cfRule>
  </conditionalFormatting>
  <conditionalFormatting sqref="AJ140">
    <cfRule type="cellIs" dxfId="610" priority="49534" stopIfTrue="1" operator="notEqual">
      <formula>"En cours"</formula>
    </cfRule>
  </conditionalFormatting>
  <conditionalFormatting sqref="AK140">
    <cfRule type="cellIs" dxfId="609" priority="49535" stopIfTrue="1" operator="equal">
      <formula>"En cours"</formula>
    </cfRule>
  </conditionalFormatting>
  <conditionalFormatting sqref="AK140">
    <cfRule type="cellIs" dxfId="608" priority="49536" stopIfTrue="1" operator="notEqual">
      <formula>"En cours"</formula>
    </cfRule>
  </conditionalFormatting>
  <conditionalFormatting sqref="AJ171">
    <cfRule type="cellIs" dxfId="607" priority="49569" stopIfTrue="1" operator="equal">
      <formula>"En cours"</formula>
    </cfRule>
  </conditionalFormatting>
  <conditionalFormatting sqref="AJ171">
    <cfRule type="cellIs" dxfId="606" priority="49570" stopIfTrue="1" operator="notEqual">
      <formula>"En cours"</formula>
    </cfRule>
  </conditionalFormatting>
  <conditionalFormatting sqref="AK171">
    <cfRule type="cellIs" dxfId="605" priority="49571" stopIfTrue="1" operator="equal">
      <formula>"En cours"</formula>
    </cfRule>
  </conditionalFormatting>
  <conditionalFormatting sqref="AK171">
    <cfRule type="cellIs" dxfId="604" priority="49572" stopIfTrue="1" operator="notEqual">
      <formula>"En cours"</formula>
    </cfRule>
  </conditionalFormatting>
  <conditionalFormatting sqref="AJ152">
    <cfRule type="cellIs" dxfId="603" priority="49573" stopIfTrue="1" operator="equal">
      <formula>"En cours"</formula>
    </cfRule>
  </conditionalFormatting>
  <conditionalFormatting sqref="AJ152">
    <cfRule type="cellIs" dxfId="602" priority="49574" stopIfTrue="1" operator="notEqual">
      <formula>"En cours"</formula>
    </cfRule>
  </conditionalFormatting>
  <conditionalFormatting sqref="AK152">
    <cfRule type="cellIs" dxfId="601" priority="49575" stopIfTrue="1" operator="equal">
      <formula>"En cours"</formula>
    </cfRule>
  </conditionalFormatting>
  <conditionalFormatting sqref="AK152">
    <cfRule type="cellIs" dxfId="600" priority="49576" stopIfTrue="1" operator="notEqual">
      <formula>"En cours"</formula>
    </cfRule>
  </conditionalFormatting>
  <conditionalFormatting sqref="AJ114">
    <cfRule type="cellIs" dxfId="599" priority="49581" stopIfTrue="1" operator="equal">
      <formula>"En cours"</formula>
    </cfRule>
  </conditionalFormatting>
  <conditionalFormatting sqref="AJ114">
    <cfRule type="cellIs" dxfId="598" priority="49582" stopIfTrue="1" operator="notEqual">
      <formula>"En cours"</formula>
    </cfRule>
  </conditionalFormatting>
  <conditionalFormatting sqref="AK114">
    <cfRule type="cellIs" dxfId="597" priority="49583" stopIfTrue="1" operator="equal">
      <formula>"En cours"</formula>
    </cfRule>
  </conditionalFormatting>
  <conditionalFormatting sqref="AK114">
    <cfRule type="cellIs" dxfId="596" priority="49584" stopIfTrue="1" operator="notEqual">
      <formula>"En cours"</formula>
    </cfRule>
  </conditionalFormatting>
  <conditionalFormatting sqref="AJ141">
    <cfRule type="cellIs" dxfId="595" priority="49589" stopIfTrue="1" operator="equal">
      <formula>"En cours"</formula>
    </cfRule>
  </conditionalFormatting>
  <conditionalFormatting sqref="AJ141">
    <cfRule type="cellIs" dxfId="594" priority="49590" stopIfTrue="1" operator="notEqual">
      <formula>"En cours"</formula>
    </cfRule>
  </conditionalFormatting>
  <conditionalFormatting sqref="AK141">
    <cfRule type="cellIs" dxfId="593" priority="49591" stopIfTrue="1" operator="equal">
      <formula>"En cours"</formula>
    </cfRule>
  </conditionalFormatting>
  <conditionalFormatting sqref="AK141">
    <cfRule type="cellIs" dxfId="592" priority="49592" stopIfTrue="1" operator="notEqual">
      <formula>"En cours"</formula>
    </cfRule>
  </conditionalFormatting>
  <conditionalFormatting sqref="AJ135">
    <cfRule type="cellIs" dxfId="591" priority="49593" stopIfTrue="1" operator="equal">
      <formula>"En cours"</formula>
    </cfRule>
  </conditionalFormatting>
  <conditionalFormatting sqref="AJ135">
    <cfRule type="cellIs" dxfId="590" priority="49594" stopIfTrue="1" operator="notEqual">
      <formula>"En cours"</formula>
    </cfRule>
  </conditionalFormatting>
  <conditionalFormatting sqref="AK135">
    <cfRule type="cellIs" dxfId="589" priority="49595" stopIfTrue="1" operator="equal">
      <formula>"En cours"</formula>
    </cfRule>
  </conditionalFormatting>
  <conditionalFormatting sqref="AK135">
    <cfRule type="cellIs" dxfId="588" priority="49596" stopIfTrue="1" operator="notEqual">
      <formula>"En cours"</formula>
    </cfRule>
  </conditionalFormatting>
  <conditionalFormatting sqref="AJ128">
    <cfRule type="cellIs" dxfId="587" priority="49609" stopIfTrue="1" operator="equal">
      <formula>"En cours"</formula>
    </cfRule>
  </conditionalFormatting>
  <conditionalFormatting sqref="AJ128">
    <cfRule type="cellIs" dxfId="586" priority="49610" stopIfTrue="1" operator="notEqual">
      <formula>"En cours"</formula>
    </cfRule>
  </conditionalFormatting>
  <conditionalFormatting sqref="AK128">
    <cfRule type="cellIs" dxfId="585" priority="49611" stopIfTrue="1" operator="equal">
      <formula>"En cours"</formula>
    </cfRule>
  </conditionalFormatting>
  <conditionalFormatting sqref="AK128">
    <cfRule type="cellIs" dxfId="584" priority="49612" stopIfTrue="1" operator="notEqual">
      <formula>"En cours"</formula>
    </cfRule>
  </conditionalFormatting>
  <conditionalFormatting sqref="AJ143">
    <cfRule type="cellIs" dxfId="583" priority="49857" stopIfTrue="1" operator="equal">
      <formula>"En cours"</formula>
    </cfRule>
  </conditionalFormatting>
  <conditionalFormatting sqref="AJ143">
    <cfRule type="cellIs" dxfId="582" priority="49858" stopIfTrue="1" operator="notEqual">
      <formula>"En cours"</formula>
    </cfRule>
  </conditionalFormatting>
  <conditionalFormatting sqref="AK143">
    <cfRule type="cellIs" dxfId="581" priority="49859" stopIfTrue="1" operator="equal">
      <formula>"En cours"</formula>
    </cfRule>
  </conditionalFormatting>
  <conditionalFormatting sqref="AK143">
    <cfRule type="cellIs" dxfId="580" priority="49860" stopIfTrue="1" operator="notEqual">
      <formula>"En cours"</formula>
    </cfRule>
  </conditionalFormatting>
  <conditionalFormatting sqref="AJ166">
    <cfRule type="cellIs" dxfId="579" priority="49861" stopIfTrue="1" operator="equal">
      <formula>"En cours"</formula>
    </cfRule>
  </conditionalFormatting>
  <conditionalFormatting sqref="AJ166">
    <cfRule type="cellIs" dxfId="578" priority="49862" stopIfTrue="1" operator="notEqual">
      <formula>"En cours"</formula>
    </cfRule>
  </conditionalFormatting>
  <conditionalFormatting sqref="AK166">
    <cfRule type="cellIs" dxfId="577" priority="49863" stopIfTrue="1" operator="equal">
      <formula>"En cours"</formula>
    </cfRule>
  </conditionalFormatting>
  <conditionalFormatting sqref="AK166">
    <cfRule type="cellIs" dxfId="576" priority="49864" stopIfTrue="1" operator="notEqual">
      <formula>"En cours"</formula>
    </cfRule>
  </conditionalFormatting>
  <conditionalFormatting sqref="AJ104">
    <cfRule type="cellIs" dxfId="575" priority="49865" stopIfTrue="1" operator="equal">
      <formula>"En cours"</formula>
    </cfRule>
  </conditionalFormatting>
  <conditionalFormatting sqref="AJ104">
    <cfRule type="cellIs" dxfId="574" priority="49866" stopIfTrue="1" operator="notEqual">
      <formula>"En cours"</formula>
    </cfRule>
  </conditionalFormatting>
  <conditionalFormatting sqref="AK104">
    <cfRule type="cellIs" dxfId="573" priority="49867" stopIfTrue="1" operator="equal">
      <formula>"En cours"</formula>
    </cfRule>
  </conditionalFormatting>
  <conditionalFormatting sqref="AK104">
    <cfRule type="cellIs" dxfId="572" priority="49868" stopIfTrue="1" operator="notEqual">
      <formula>"En cours"</formula>
    </cfRule>
  </conditionalFormatting>
  <conditionalFormatting sqref="AJ109">
    <cfRule type="cellIs" dxfId="571" priority="49873" stopIfTrue="1" operator="equal">
      <formula>"En cours"</formula>
    </cfRule>
  </conditionalFormatting>
  <conditionalFormatting sqref="AJ109">
    <cfRule type="cellIs" dxfId="570" priority="49874" stopIfTrue="1" operator="notEqual">
      <formula>"En cours"</formula>
    </cfRule>
  </conditionalFormatting>
  <conditionalFormatting sqref="AK109">
    <cfRule type="cellIs" dxfId="569" priority="49875" stopIfTrue="1" operator="equal">
      <formula>"En cours"</formula>
    </cfRule>
  </conditionalFormatting>
  <conditionalFormatting sqref="AK109">
    <cfRule type="cellIs" dxfId="568" priority="49876" stopIfTrue="1" operator="notEqual">
      <formula>"En cours"</formula>
    </cfRule>
  </conditionalFormatting>
  <conditionalFormatting sqref="AJ175">
    <cfRule type="cellIs" dxfId="567" priority="49881" stopIfTrue="1" operator="equal">
      <formula>"En cours"</formula>
    </cfRule>
  </conditionalFormatting>
  <conditionalFormatting sqref="AJ175">
    <cfRule type="cellIs" dxfId="566" priority="49882" stopIfTrue="1" operator="notEqual">
      <formula>"En cours"</formula>
    </cfRule>
  </conditionalFormatting>
  <conditionalFormatting sqref="AK175">
    <cfRule type="cellIs" dxfId="565" priority="49883" stopIfTrue="1" operator="equal">
      <formula>"En cours"</formula>
    </cfRule>
  </conditionalFormatting>
  <conditionalFormatting sqref="AK175">
    <cfRule type="cellIs" dxfId="564" priority="49884" stopIfTrue="1" operator="notEqual">
      <formula>"En cours"</formula>
    </cfRule>
  </conditionalFormatting>
  <conditionalFormatting sqref="AJ121">
    <cfRule type="cellIs" dxfId="563" priority="49885" stopIfTrue="1" operator="equal">
      <formula>"En cours"</formula>
    </cfRule>
  </conditionalFormatting>
  <conditionalFormatting sqref="AJ121">
    <cfRule type="cellIs" dxfId="562" priority="49886" stopIfTrue="1" operator="notEqual">
      <formula>"En cours"</formula>
    </cfRule>
  </conditionalFormatting>
  <conditionalFormatting sqref="AK121">
    <cfRule type="cellIs" dxfId="561" priority="49887" stopIfTrue="1" operator="equal">
      <formula>"En cours"</formula>
    </cfRule>
  </conditionalFormatting>
  <conditionalFormatting sqref="AK121">
    <cfRule type="cellIs" dxfId="560" priority="49888" stopIfTrue="1" operator="notEqual">
      <formula>"En cours"</formula>
    </cfRule>
  </conditionalFormatting>
  <conditionalFormatting sqref="AJ117">
    <cfRule type="cellIs" dxfId="559" priority="49889" stopIfTrue="1" operator="equal">
      <formula>"En cours"</formula>
    </cfRule>
  </conditionalFormatting>
  <conditionalFormatting sqref="AJ117">
    <cfRule type="cellIs" dxfId="558" priority="49890" stopIfTrue="1" operator="notEqual">
      <formula>"En cours"</formula>
    </cfRule>
  </conditionalFormatting>
  <conditionalFormatting sqref="AK117">
    <cfRule type="cellIs" dxfId="557" priority="49891" stopIfTrue="1" operator="equal">
      <formula>"En cours"</formula>
    </cfRule>
  </conditionalFormatting>
  <conditionalFormatting sqref="AK117">
    <cfRule type="cellIs" dxfId="556" priority="49892" stopIfTrue="1" operator="notEqual">
      <formula>"En cours"</formula>
    </cfRule>
  </conditionalFormatting>
  <conditionalFormatting sqref="AJ113">
    <cfRule type="cellIs" dxfId="555" priority="49893" stopIfTrue="1" operator="equal">
      <formula>"En cours"</formula>
    </cfRule>
  </conditionalFormatting>
  <conditionalFormatting sqref="AJ113">
    <cfRule type="cellIs" dxfId="554" priority="49894" stopIfTrue="1" operator="notEqual">
      <formula>"En cours"</formula>
    </cfRule>
  </conditionalFormatting>
  <conditionalFormatting sqref="AK113">
    <cfRule type="cellIs" dxfId="553" priority="49895" stopIfTrue="1" operator="equal">
      <formula>"En cours"</formula>
    </cfRule>
  </conditionalFormatting>
  <conditionalFormatting sqref="AK113">
    <cfRule type="cellIs" dxfId="552" priority="49896" stopIfTrue="1" operator="notEqual">
      <formula>"En cours"</formula>
    </cfRule>
  </conditionalFormatting>
  <conditionalFormatting sqref="AJ155">
    <cfRule type="cellIs" dxfId="551" priority="49909" stopIfTrue="1" operator="equal">
      <formula>"En cours"</formula>
    </cfRule>
  </conditionalFormatting>
  <conditionalFormatting sqref="AJ155">
    <cfRule type="cellIs" dxfId="550" priority="49910" stopIfTrue="1" operator="notEqual">
      <formula>"En cours"</formula>
    </cfRule>
  </conditionalFormatting>
  <conditionalFormatting sqref="AK155">
    <cfRule type="cellIs" dxfId="549" priority="49911" stopIfTrue="1" operator="equal">
      <formula>"En cours"</formula>
    </cfRule>
  </conditionalFormatting>
  <conditionalFormatting sqref="AK155">
    <cfRule type="cellIs" dxfId="548" priority="49912" stopIfTrue="1" operator="notEqual">
      <formula>"En cours"</formula>
    </cfRule>
  </conditionalFormatting>
  <conditionalFormatting sqref="AJ137">
    <cfRule type="cellIs" dxfId="547" priority="49913" stopIfTrue="1" operator="equal">
      <formula>"En cours"</formula>
    </cfRule>
  </conditionalFormatting>
  <conditionalFormatting sqref="AJ137">
    <cfRule type="cellIs" dxfId="546" priority="49914" stopIfTrue="1" operator="notEqual">
      <formula>"En cours"</formula>
    </cfRule>
  </conditionalFormatting>
  <conditionalFormatting sqref="AK137">
    <cfRule type="cellIs" dxfId="545" priority="49915" stopIfTrue="1" operator="equal">
      <formula>"En cours"</formula>
    </cfRule>
  </conditionalFormatting>
  <conditionalFormatting sqref="AK137">
    <cfRule type="cellIs" dxfId="544" priority="49916" stopIfTrue="1" operator="notEqual">
      <formula>"En cours"</formula>
    </cfRule>
  </conditionalFormatting>
  <conditionalFormatting sqref="AJ131">
    <cfRule type="cellIs" dxfId="543" priority="49921" stopIfTrue="1" operator="equal">
      <formula>"En cours"</formula>
    </cfRule>
  </conditionalFormatting>
  <conditionalFormatting sqref="AJ131">
    <cfRule type="cellIs" dxfId="542" priority="49922" stopIfTrue="1" operator="notEqual">
      <formula>"En cours"</formula>
    </cfRule>
  </conditionalFormatting>
  <conditionalFormatting sqref="AK131">
    <cfRule type="cellIs" dxfId="541" priority="49923" stopIfTrue="1" operator="equal">
      <formula>"En cours"</formula>
    </cfRule>
  </conditionalFormatting>
  <conditionalFormatting sqref="AK131">
    <cfRule type="cellIs" dxfId="540" priority="49924" stopIfTrue="1" operator="notEqual">
      <formula>"En cours"</formula>
    </cfRule>
  </conditionalFormatting>
  <conditionalFormatting sqref="AJ105">
    <cfRule type="cellIs" dxfId="539" priority="49925" stopIfTrue="1" operator="equal">
      <formula>"En cours"</formula>
    </cfRule>
  </conditionalFormatting>
  <conditionalFormatting sqref="AJ105">
    <cfRule type="cellIs" dxfId="538" priority="49926" stopIfTrue="1" operator="notEqual">
      <formula>"En cours"</formula>
    </cfRule>
  </conditionalFormatting>
  <conditionalFormatting sqref="AK105">
    <cfRule type="cellIs" dxfId="537" priority="49927" stopIfTrue="1" operator="equal">
      <formula>"En cours"</formula>
    </cfRule>
  </conditionalFormatting>
  <conditionalFormatting sqref="AK105">
    <cfRule type="cellIs" dxfId="536" priority="49928" stopIfTrue="1" operator="notEqual">
      <formula>"En cours"</formula>
    </cfRule>
  </conditionalFormatting>
  <conditionalFormatting sqref="AJ160">
    <cfRule type="cellIs" dxfId="535" priority="49929" stopIfTrue="1" operator="equal">
      <formula>"En cours"</formula>
    </cfRule>
  </conditionalFormatting>
  <conditionalFormatting sqref="AJ160">
    <cfRule type="cellIs" dxfId="534" priority="49930" stopIfTrue="1" operator="notEqual">
      <formula>"En cours"</formula>
    </cfRule>
  </conditionalFormatting>
  <conditionalFormatting sqref="AK160">
    <cfRule type="cellIs" dxfId="533" priority="49931" stopIfTrue="1" operator="equal">
      <formula>"En cours"</formula>
    </cfRule>
  </conditionalFormatting>
  <conditionalFormatting sqref="AK160">
    <cfRule type="cellIs" dxfId="532" priority="49932" stopIfTrue="1" operator="notEqual">
      <formula>"En cours"</formula>
    </cfRule>
  </conditionalFormatting>
  <conditionalFormatting sqref="AJ69">
    <cfRule type="cellIs" dxfId="531" priority="52585" stopIfTrue="1" operator="equal">
      <formula>"En cours"</formula>
    </cfRule>
  </conditionalFormatting>
  <conditionalFormatting sqref="AJ69">
    <cfRule type="cellIs" dxfId="530" priority="52586" stopIfTrue="1" operator="notEqual">
      <formula>"En cours"</formula>
    </cfRule>
  </conditionalFormatting>
  <conditionalFormatting sqref="AK69">
    <cfRule type="cellIs" dxfId="529" priority="52587" stopIfTrue="1" operator="equal">
      <formula>"En cours"</formula>
    </cfRule>
  </conditionalFormatting>
  <conditionalFormatting sqref="AK69">
    <cfRule type="cellIs" dxfId="528" priority="52588" stopIfTrue="1" operator="notEqual">
      <formula>"En cours"</formula>
    </cfRule>
  </conditionalFormatting>
  <conditionalFormatting sqref="AJ71">
    <cfRule type="cellIs" dxfId="527" priority="52593" stopIfTrue="1" operator="equal">
      <formula>"En cours"</formula>
    </cfRule>
  </conditionalFormatting>
  <conditionalFormatting sqref="AJ71">
    <cfRule type="cellIs" dxfId="526" priority="52594" stopIfTrue="1" operator="notEqual">
      <formula>"En cours"</formula>
    </cfRule>
  </conditionalFormatting>
  <conditionalFormatting sqref="AK71">
    <cfRule type="cellIs" dxfId="525" priority="52595" stopIfTrue="1" operator="equal">
      <formula>"En cours"</formula>
    </cfRule>
  </conditionalFormatting>
  <conditionalFormatting sqref="AK71">
    <cfRule type="cellIs" dxfId="524" priority="52596" stopIfTrue="1" operator="notEqual">
      <formula>"En cours"</formula>
    </cfRule>
  </conditionalFormatting>
  <conditionalFormatting sqref="AJ73">
    <cfRule type="cellIs" dxfId="523" priority="52601" stopIfTrue="1" operator="equal">
      <formula>"En cours"</formula>
    </cfRule>
  </conditionalFormatting>
  <conditionalFormatting sqref="AJ73">
    <cfRule type="cellIs" dxfId="522" priority="52602" stopIfTrue="1" operator="notEqual">
      <formula>"En cours"</formula>
    </cfRule>
  </conditionalFormatting>
  <conditionalFormatting sqref="AK73">
    <cfRule type="cellIs" dxfId="521" priority="52603" stopIfTrue="1" operator="equal">
      <formula>"En cours"</formula>
    </cfRule>
  </conditionalFormatting>
  <conditionalFormatting sqref="AK73">
    <cfRule type="cellIs" dxfId="520" priority="52604" stopIfTrue="1" operator="notEqual">
      <formula>"En cours"</formula>
    </cfRule>
  </conditionalFormatting>
  <conditionalFormatting sqref="AJ74">
    <cfRule type="cellIs" dxfId="519" priority="52605" stopIfTrue="1" operator="equal">
      <formula>"En cours"</formula>
    </cfRule>
  </conditionalFormatting>
  <conditionalFormatting sqref="AJ74">
    <cfRule type="cellIs" dxfId="518" priority="52606" stopIfTrue="1" operator="notEqual">
      <formula>"En cours"</formula>
    </cfRule>
  </conditionalFormatting>
  <conditionalFormatting sqref="AK74">
    <cfRule type="cellIs" dxfId="517" priority="52607" stopIfTrue="1" operator="equal">
      <formula>"En cours"</formula>
    </cfRule>
  </conditionalFormatting>
  <conditionalFormatting sqref="AK74">
    <cfRule type="cellIs" dxfId="516" priority="52608" stopIfTrue="1" operator="notEqual">
      <formula>"En cours"</formula>
    </cfRule>
  </conditionalFormatting>
  <conditionalFormatting sqref="AJ76">
    <cfRule type="cellIs" dxfId="515" priority="52609" stopIfTrue="1" operator="equal">
      <formula>"En cours"</formula>
    </cfRule>
  </conditionalFormatting>
  <conditionalFormatting sqref="AJ76">
    <cfRule type="cellIs" dxfId="514" priority="52610" stopIfTrue="1" operator="notEqual">
      <formula>"En cours"</formula>
    </cfRule>
  </conditionalFormatting>
  <conditionalFormatting sqref="AK76">
    <cfRule type="cellIs" dxfId="513" priority="52611" stopIfTrue="1" operator="equal">
      <formula>"En cours"</formula>
    </cfRule>
  </conditionalFormatting>
  <conditionalFormatting sqref="AK76">
    <cfRule type="cellIs" dxfId="512" priority="52612" stopIfTrue="1" operator="notEqual">
      <formula>"En cours"</formula>
    </cfRule>
  </conditionalFormatting>
  <conditionalFormatting sqref="AJ68">
    <cfRule type="cellIs" dxfId="511" priority="52621" stopIfTrue="1" operator="equal">
      <formula>"En cours"</formula>
    </cfRule>
  </conditionalFormatting>
  <conditionalFormatting sqref="AJ68">
    <cfRule type="cellIs" dxfId="510" priority="52622" stopIfTrue="1" operator="notEqual">
      <formula>"En cours"</formula>
    </cfRule>
  </conditionalFormatting>
  <conditionalFormatting sqref="AK68">
    <cfRule type="cellIs" dxfId="509" priority="52623" stopIfTrue="1" operator="equal">
      <formula>"En cours"</formula>
    </cfRule>
  </conditionalFormatting>
  <conditionalFormatting sqref="AK68">
    <cfRule type="cellIs" dxfId="508" priority="52624" stopIfTrue="1" operator="notEqual">
      <formula>"En cours"</formula>
    </cfRule>
  </conditionalFormatting>
  <conditionalFormatting sqref="AJ77">
    <cfRule type="cellIs" dxfId="507" priority="52625" stopIfTrue="1" operator="equal">
      <formula>"En cours"</formula>
    </cfRule>
  </conditionalFormatting>
  <conditionalFormatting sqref="AJ77">
    <cfRule type="cellIs" dxfId="506" priority="52626" stopIfTrue="1" operator="notEqual">
      <formula>"En cours"</formula>
    </cfRule>
  </conditionalFormatting>
  <conditionalFormatting sqref="AK77">
    <cfRule type="cellIs" dxfId="505" priority="52627" stopIfTrue="1" operator="equal">
      <formula>"En cours"</formula>
    </cfRule>
  </conditionalFormatting>
  <conditionalFormatting sqref="AK77">
    <cfRule type="cellIs" dxfId="504" priority="52628" stopIfTrue="1" operator="notEqual">
      <formula>"En cours"</formula>
    </cfRule>
  </conditionalFormatting>
  <conditionalFormatting sqref="AJ78">
    <cfRule type="cellIs" dxfId="503" priority="52629" stopIfTrue="1" operator="equal">
      <formula>"En cours"</formula>
    </cfRule>
  </conditionalFormatting>
  <conditionalFormatting sqref="AJ78">
    <cfRule type="cellIs" dxfId="502" priority="52630" stopIfTrue="1" operator="notEqual">
      <formula>"En cours"</formula>
    </cfRule>
  </conditionalFormatting>
  <conditionalFormatting sqref="AK78">
    <cfRule type="cellIs" dxfId="501" priority="52631" stopIfTrue="1" operator="equal">
      <formula>"En cours"</formula>
    </cfRule>
  </conditionalFormatting>
  <conditionalFormatting sqref="AK78">
    <cfRule type="cellIs" dxfId="500" priority="52632" stopIfTrue="1" operator="notEqual">
      <formula>"En cours"</formula>
    </cfRule>
  </conditionalFormatting>
  <conditionalFormatting sqref="AJ79">
    <cfRule type="cellIs" dxfId="499" priority="52633" stopIfTrue="1" operator="equal">
      <formula>"En cours"</formula>
    </cfRule>
  </conditionalFormatting>
  <conditionalFormatting sqref="AJ79">
    <cfRule type="cellIs" dxfId="498" priority="52634" stopIfTrue="1" operator="notEqual">
      <formula>"En cours"</formula>
    </cfRule>
  </conditionalFormatting>
  <conditionalFormatting sqref="AK79">
    <cfRule type="cellIs" dxfId="497" priority="52635" stopIfTrue="1" operator="equal">
      <formula>"En cours"</formula>
    </cfRule>
  </conditionalFormatting>
  <conditionalFormatting sqref="AK79">
    <cfRule type="cellIs" dxfId="496" priority="52636" stopIfTrue="1" operator="notEqual">
      <formula>"En cours"</formula>
    </cfRule>
  </conditionalFormatting>
  <conditionalFormatting sqref="AJ82">
    <cfRule type="cellIs" dxfId="495" priority="52637" stopIfTrue="1" operator="equal">
      <formula>"En cours"</formula>
    </cfRule>
  </conditionalFormatting>
  <conditionalFormatting sqref="AJ82">
    <cfRule type="cellIs" dxfId="494" priority="52638" stopIfTrue="1" operator="notEqual">
      <formula>"En cours"</formula>
    </cfRule>
  </conditionalFormatting>
  <conditionalFormatting sqref="AK82">
    <cfRule type="cellIs" dxfId="493" priority="52639" stopIfTrue="1" operator="equal">
      <formula>"En cours"</formula>
    </cfRule>
  </conditionalFormatting>
  <conditionalFormatting sqref="AK82">
    <cfRule type="cellIs" dxfId="492" priority="52640" stopIfTrue="1" operator="notEqual">
      <formula>"En cours"</formula>
    </cfRule>
  </conditionalFormatting>
  <conditionalFormatting sqref="AJ86">
    <cfRule type="cellIs" dxfId="491" priority="52641" stopIfTrue="1" operator="equal">
      <formula>"En cours"</formula>
    </cfRule>
  </conditionalFormatting>
  <conditionalFormatting sqref="AJ86">
    <cfRule type="cellIs" dxfId="490" priority="52642" stopIfTrue="1" operator="notEqual">
      <formula>"En cours"</formula>
    </cfRule>
  </conditionalFormatting>
  <conditionalFormatting sqref="AK86">
    <cfRule type="cellIs" dxfId="489" priority="52643" stopIfTrue="1" operator="equal">
      <formula>"En cours"</formula>
    </cfRule>
  </conditionalFormatting>
  <conditionalFormatting sqref="AK86">
    <cfRule type="cellIs" dxfId="488" priority="52644" stopIfTrue="1" operator="notEqual">
      <formula>"En cours"</formula>
    </cfRule>
  </conditionalFormatting>
  <conditionalFormatting sqref="AJ81">
    <cfRule type="cellIs" dxfId="487" priority="52649" stopIfTrue="1" operator="equal">
      <formula>"En cours"</formula>
    </cfRule>
  </conditionalFormatting>
  <conditionalFormatting sqref="AJ81">
    <cfRule type="cellIs" dxfId="486" priority="52650" stopIfTrue="1" operator="notEqual">
      <formula>"En cours"</formula>
    </cfRule>
  </conditionalFormatting>
  <conditionalFormatting sqref="AK81">
    <cfRule type="cellIs" dxfId="485" priority="52651" stopIfTrue="1" operator="equal">
      <formula>"En cours"</formula>
    </cfRule>
  </conditionalFormatting>
  <conditionalFormatting sqref="AK81">
    <cfRule type="cellIs" dxfId="484" priority="52652" stopIfTrue="1" operator="notEqual">
      <formula>"En cours"</formula>
    </cfRule>
  </conditionalFormatting>
  <conditionalFormatting sqref="AJ75">
    <cfRule type="cellIs" dxfId="483" priority="52653" stopIfTrue="1" operator="equal">
      <formula>"En cours"</formula>
    </cfRule>
  </conditionalFormatting>
  <conditionalFormatting sqref="AJ75">
    <cfRule type="cellIs" dxfId="482" priority="52654" stopIfTrue="1" operator="notEqual">
      <formula>"En cours"</formula>
    </cfRule>
  </conditionalFormatting>
  <conditionalFormatting sqref="AK75">
    <cfRule type="cellIs" dxfId="481" priority="52655" stopIfTrue="1" operator="equal">
      <formula>"En cours"</formula>
    </cfRule>
  </conditionalFormatting>
  <conditionalFormatting sqref="AK75">
    <cfRule type="cellIs" dxfId="480" priority="52656" stopIfTrue="1" operator="notEqual">
      <formula>"En cours"</formula>
    </cfRule>
  </conditionalFormatting>
  <conditionalFormatting sqref="AJ90">
    <cfRule type="cellIs" dxfId="479" priority="52657" stopIfTrue="1" operator="equal">
      <formula>"En cours"</formula>
    </cfRule>
  </conditionalFormatting>
  <conditionalFormatting sqref="AJ90">
    <cfRule type="cellIs" dxfId="478" priority="52658" stopIfTrue="1" operator="notEqual">
      <formula>"En cours"</formula>
    </cfRule>
  </conditionalFormatting>
  <conditionalFormatting sqref="AK90">
    <cfRule type="cellIs" dxfId="477" priority="52659" stopIfTrue="1" operator="equal">
      <formula>"En cours"</formula>
    </cfRule>
  </conditionalFormatting>
  <conditionalFormatting sqref="AK90">
    <cfRule type="cellIs" dxfId="476" priority="52660" stopIfTrue="1" operator="notEqual">
      <formula>"En cours"</formula>
    </cfRule>
  </conditionalFormatting>
  <conditionalFormatting sqref="AJ70">
    <cfRule type="cellIs" dxfId="475" priority="52661" stopIfTrue="1" operator="equal">
      <formula>"En cours"</formula>
    </cfRule>
  </conditionalFormatting>
  <conditionalFormatting sqref="AJ70">
    <cfRule type="cellIs" dxfId="474" priority="52662" stopIfTrue="1" operator="notEqual">
      <formula>"En cours"</formula>
    </cfRule>
  </conditionalFormatting>
  <conditionalFormatting sqref="AK70">
    <cfRule type="cellIs" dxfId="473" priority="52663" stopIfTrue="1" operator="equal">
      <formula>"En cours"</formula>
    </cfRule>
  </conditionalFormatting>
  <conditionalFormatting sqref="AK70">
    <cfRule type="cellIs" dxfId="472" priority="52664" stopIfTrue="1" operator="notEqual">
      <formula>"En cours"</formula>
    </cfRule>
  </conditionalFormatting>
  <conditionalFormatting sqref="AJ93">
    <cfRule type="cellIs" dxfId="471" priority="52665" stopIfTrue="1" operator="equal">
      <formula>"En cours"</formula>
    </cfRule>
    <cfRule type="cellIs" dxfId="470" priority="52666" stopIfTrue="1" operator="notEqual">
      <formula>"En cours"</formula>
    </cfRule>
  </conditionalFormatting>
  <conditionalFormatting sqref="AK93">
    <cfRule type="cellIs" dxfId="469" priority="52667" stopIfTrue="1" operator="equal">
      <formula>"En cours"</formula>
    </cfRule>
    <cfRule type="cellIs" dxfId="468" priority="52668" stopIfTrue="1" operator="notEqual">
      <formula>"En cours"</formula>
    </cfRule>
  </conditionalFormatting>
  <conditionalFormatting sqref="AJ96">
    <cfRule type="cellIs" dxfId="467" priority="52669" stopIfTrue="1" operator="equal">
      <formula>"En cours"</formula>
    </cfRule>
    <cfRule type="cellIs" dxfId="466" priority="52670" stopIfTrue="1" operator="notEqual">
      <formula>"En cours"</formula>
    </cfRule>
  </conditionalFormatting>
  <conditionalFormatting sqref="AK96">
    <cfRule type="cellIs" dxfId="465" priority="52671" stopIfTrue="1" operator="equal">
      <formula>"En cours"</formula>
    </cfRule>
    <cfRule type="cellIs" dxfId="464" priority="52672" stopIfTrue="1" operator="notEqual">
      <formula>"En cours"</formula>
    </cfRule>
  </conditionalFormatting>
  <conditionalFormatting sqref="AJ80">
    <cfRule type="cellIs" dxfId="463" priority="52673" stopIfTrue="1" operator="equal">
      <formula>"En cours"</formula>
    </cfRule>
  </conditionalFormatting>
  <conditionalFormatting sqref="AJ80">
    <cfRule type="cellIs" dxfId="462" priority="52674" stopIfTrue="1" operator="notEqual">
      <formula>"En cours"</formula>
    </cfRule>
  </conditionalFormatting>
  <conditionalFormatting sqref="AK80">
    <cfRule type="cellIs" dxfId="461" priority="52675" stopIfTrue="1" operator="equal">
      <formula>"En cours"</formula>
    </cfRule>
  </conditionalFormatting>
  <conditionalFormatting sqref="AK80">
    <cfRule type="cellIs" dxfId="460" priority="52676" stopIfTrue="1" operator="notEqual">
      <formula>"En cours"</formula>
    </cfRule>
  </conditionalFormatting>
  <conditionalFormatting sqref="AJ97">
    <cfRule type="cellIs" dxfId="459" priority="52677" stopIfTrue="1" operator="equal">
      <formula>"En cours"</formula>
    </cfRule>
  </conditionalFormatting>
  <conditionalFormatting sqref="AJ97">
    <cfRule type="cellIs" dxfId="458" priority="52678" stopIfTrue="1" operator="notEqual">
      <formula>"En cours"</formula>
    </cfRule>
  </conditionalFormatting>
  <conditionalFormatting sqref="AK97">
    <cfRule type="cellIs" dxfId="457" priority="52679" stopIfTrue="1" operator="equal">
      <formula>"En cours"</formula>
    </cfRule>
  </conditionalFormatting>
  <conditionalFormatting sqref="AK97">
    <cfRule type="cellIs" dxfId="456" priority="52680" stopIfTrue="1" operator="notEqual">
      <formula>"En cours"</formula>
    </cfRule>
  </conditionalFormatting>
  <conditionalFormatting sqref="AJ83">
    <cfRule type="cellIs" dxfId="455" priority="52681" stopIfTrue="1" operator="equal">
      <formula>"En cours"</formula>
    </cfRule>
  </conditionalFormatting>
  <conditionalFormatting sqref="AJ83">
    <cfRule type="cellIs" dxfId="454" priority="52682" stopIfTrue="1" operator="notEqual">
      <formula>"En cours"</formula>
    </cfRule>
  </conditionalFormatting>
  <conditionalFormatting sqref="AK83">
    <cfRule type="cellIs" dxfId="453" priority="52683" stopIfTrue="1" operator="equal">
      <formula>"En cours"</formula>
    </cfRule>
  </conditionalFormatting>
  <conditionalFormatting sqref="AK83">
    <cfRule type="cellIs" dxfId="452" priority="52684" stopIfTrue="1" operator="notEqual">
      <formula>"En cours"</formula>
    </cfRule>
  </conditionalFormatting>
  <conditionalFormatting sqref="AJ100">
    <cfRule type="cellIs" dxfId="451" priority="52685" stopIfTrue="1" operator="equal">
      <formula>"En cours"</formula>
    </cfRule>
  </conditionalFormatting>
  <conditionalFormatting sqref="AJ100">
    <cfRule type="cellIs" dxfId="450" priority="52686" stopIfTrue="1" operator="notEqual">
      <formula>"En cours"</formula>
    </cfRule>
  </conditionalFormatting>
  <conditionalFormatting sqref="AK100">
    <cfRule type="cellIs" dxfId="449" priority="52687" stopIfTrue="1" operator="equal">
      <formula>"En cours"</formula>
    </cfRule>
  </conditionalFormatting>
  <conditionalFormatting sqref="AK100">
    <cfRule type="cellIs" dxfId="448" priority="52688" stopIfTrue="1" operator="notEqual">
      <formula>"En cours"</formula>
    </cfRule>
  </conditionalFormatting>
  <conditionalFormatting sqref="AJ72">
    <cfRule type="cellIs" dxfId="447" priority="52689" stopIfTrue="1" operator="equal">
      <formula>"En cours"</formula>
    </cfRule>
  </conditionalFormatting>
  <conditionalFormatting sqref="AJ72">
    <cfRule type="cellIs" dxfId="446" priority="52690" stopIfTrue="1" operator="notEqual">
      <formula>"En cours"</formula>
    </cfRule>
  </conditionalFormatting>
  <conditionalFormatting sqref="AK72">
    <cfRule type="cellIs" dxfId="445" priority="52691" stopIfTrue="1" operator="equal">
      <formula>"En cours"</formula>
    </cfRule>
  </conditionalFormatting>
  <conditionalFormatting sqref="AK72">
    <cfRule type="cellIs" dxfId="444" priority="52692" stopIfTrue="1" operator="notEqual">
      <formula>"En cours"</formula>
    </cfRule>
  </conditionalFormatting>
  <conditionalFormatting sqref="AJ87">
    <cfRule type="cellIs" dxfId="443" priority="52693" stopIfTrue="1" operator="equal">
      <formula>"En cours"</formula>
    </cfRule>
  </conditionalFormatting>
  <conditionalFormatting sqref="AJ87">
    <cfRule type="cellIs" dxfId="442" priority="52694" stopIfTrue="1" operator="notEqual">
      <formula>"En cours"</formula>
    </cfRule>
  </conditionalFormatting>
  <conditionalFormatting sqref="AK87">
    <cfRule type="cellIs" dxfId="441" priority="52695" stopIfTrue="1" operator="equal">
      <formula>"En cours"</formula>
    </cfRule>
  </conditionalFormatting>
  <conditionalFormatting sqref="AK87">
    <cfRule type="cellIs" dxfId="440" priority="52696" stopIfTrue="1" operator="notEqual">
      <formula>"En cours"</formula>
    </cfRule>
  </conditionalFormatting>
  <conditionalFormatting sqref="AJ101">
    <cfRule type="cellIs" dxfId="439" priority="52697" stopIfTrue="1" operator="equal">
      <formula>"En cours"</formula>
    </cfRule>
  </conditionalFormatting>
  <conditionalFormatting sqref="AJ101">
    <cfRule type="cellIs" dxfId="438" priority="52698" stopIfTrue="1" operator="notEqual">
      <formula>"En cours"</formula>
    </cfRule>
  </conditionalFormatting>
  <conditionalFormatting sqref="AK101">
    <cfRule type="cellIs" dxfId="437" priority="52699" stopIfTrue="1" operator="equal">
      <formula>"En cours"</formula>
    </cfRule>
  </conditionalFormatting>
  <conditionalFormatting sqref="AK101">
    <cfRule type="cellIs" dxfId="436" priority="52700" stopIfTrue="1" operator="notEqual">
      <formula>"En cours"</formula>
    </cfRule>
  </conditionalFormatting>
  <conditionalFormatting sqref="AJ89">
    <cfRule type="cellIs" dxfId="435" priority="52701" stopIfTrue="1" operator="equal">
      <formula>"En cours"</formula>
    </cfRule>
  </conditionalFormatting>
  <conditionalFormatting sqref="AJ89">
    <cfRule type="cellIs" dxfId="434" priority="52702" stopIfTrue="1" operator="notEqual">
      <formula>"En cours"</formula>
    </cfRule>
  </conditionalFormatting>
  <conditionalFormatting sqref="AK89">
    <cfRule type="cellIs" dxfId="433" priority="52703" stopIfTrue="1" operator="equal">
      <formula>"En cours"</formula>
    </cfRule>
  </conditionalFormatting>
  <conditionalFormatting sqref="AK89">
    <cfRule type="cellIs" dxfId="432" priority="52704" stopIfTrue="1" operator="notEqual">
      <formula>"En cours"</formula>
    </cfRule>
  </conditionalFormatting>
  <conditionalFormatting sqref="AJ98">
    <cfRule type="cellIs" dxfId="431" priority="52705" stopIfTrue="1" operator="equal">
      <formula>"En cours"</formula>
    </cfRule>
  </conditionalFormatting>
  <conditionalFormatting sqref="AJ98">
    <cfRule type="cellIs" dxfId="430" priority="52706" stopIfTrue="1" operator="notEqual">
      <formula>"En cours"</formula>
    </cfRule>
  </conditionalFormatting>
  <conditionalFormatting sqref="AK98">
    <cfRule type="cellIs" dxfId="429" priority="52707" stopIfTrue="1" operator="equal">
      <formula>"En cours"</formula>
    </cfRule>
  </conditionalFormatting>
  <conditionalFormatting sqref="AK98">
    <cfRule type="cellIs" dxfId="428" priority="52708" stopIfTrue="1" operator="notEqual">
      <formula>"En cours"</formula>
    </cfRule>
  </conditionalFormatting>
  <conditionalFormatting sqref="AJ91">
    <cfRule type="cellIs" dxfId="427" priority="52709" stopIfTrue="1" operator="equal">
      <formula>"En cours"</formula>
    </cfRule>
  </conditionalFormatting>
  <conditionalFormatting sqref="AJ91">
    <cfRule type="cellIs" dxfId="426" priority="52710" stopIfTrue="1" operator="notEqual">
      <formula>"En cours"</formula>
    </cfRule>
  </conditionalFormatting>
  <conditionalFormatting sqref="AK91">
    <cfRule type="cellIs" dxfId="425" priority="52711" stopIfTrue="1" operator="equal">
      <formula>"En cours"</formula>
    </cfRule>
  </conditionalFormatting>
  <conditionalFormatting sqref="AK91">
    <cfRule type="cellIs" dxfId="424" priority="52712" stopIfTrue="1" operator="notEqual">
      <formula>"En cours"</formula>
    </cfRule>
  </conditionalFormatting>
  <conditionalFormatting sqref="AJ92">
    <cfRule type="cellIs" dxfId="423" priority="52713" stopIfTrue="1" operator="equal">
      <formula>"En cours"</formula>
    </cfRule>
  </conditionalFormatting>
  <conditionalFormatting sqref="AJ92">
    <cfRule type="cellIs" dxfId="422" priority="52714" stopIfTrue="1" operator="notEqual">
      <formula>"En cours"</formula>
    </cfRule>
  </conditionalFormatting>
  <conditionalFormatting sqref="AK92">
    <cfRule type="cellIs" dxfId="421" priority="52715" stopIfTrue="1" operator="equal">
      <formula>"En cours"</formula>
    </cfRule>
  </conditionalFormatting>
  <conditionalFormatting sqref="AK92">
    <cfRule type="cellIs" dxfId="420" priority="52716" stopIfTrue="1" operator="notEqual">
      <formula>"En cours"</formula>
    </cfRule>
  </conditionalFormatting>
  <conditionalFormatting sqref="AJ84">
    <cfRule type="cellIs" dxfId="419" priority="52717" stopIfTrue="1" operator="equal">
      <formula>"En cours"</formula>
    </cfRule>
  </conditionalFormatting>
  <conditionalFormatting sqref="AJ84">
    <cfRule type="cellIs" dxfId="418" priority="52718" stopIfTrue="1" operator="notEqual">
      <formula>"En cours"</formula>
    </cfRule>
  </conditionalFormatting>
  <conditionalFormatting sqref="AK84">
    <cfRule type="cellIs" dxfId="417" priority="52719" stopIfTrue="1" operator="equal">
      <formula>"En cours"</formula>
    </cfRule>
  </conditionalFormatting>
  <conditionalFormatting sqref="AK84">
    <cfRule type="cellIs" dxfId="416" priority="52720" stopIfTrue="1" operator="notEqual">
      <formula>"En cours"</formula>
    </cfRule>
  </conditionalFormatting>
  <conditionalFormatting sqref="AJ99">
    <cfRule type="cellIs" dxfId="415" priority="52721" stopIfTrue="1" operator="equal">
      <formula>"En cours"</formula>
    </cfRule>
  </conditionalFormatting>
  <conditionalFormatting sqref="AJ99">
    <cfRule type="cellIs" dxfId="414" priority="52722" stopIfTrue="1" operator="notEqual">
      <formula>"En cours"</formula>
    </cfRule>
  </conditionalFormatting>
  <conditionalFormatting sqref="AK99">
    <cfRule type="cellIs" dxfId="413" priority="52723" stopIfTrue="1" operator="equal">
      <formula>"En cours"</formula>
    </cfRule>
  </conditionalFormatting>
  <conditionalFormatting sqref="AK99">
    <cfRule type="cellIs" dxfId="412" priority="52724" stopIfTrue="1" operator="notEqual">
      <formula>"En cours"</formula>
    </cfRule>
  </conditionalFormatting>
  <conditionalFormatting sqref="AJ95">
    <cfRule type="cellIs" dxfId="411" priority="52725" stopIfTrue="1" operator="equal">
      <formula>"En cours"</formula>
    </cfRule>
    <cfRule type="cellIs" dxfId="410" priority="52726" stopIfTrue="1" operator="notEqual">
      <formula>"En cours"</formula>
    </cfRule>
  </conditionalFormatting>
  <conditionalFormatting sqref="AK95">
    <cfRule type="cellIs" dxfId="409" priority="52727" stopIfTrue="1" operator="equal">
      <formula>"En cours"</formula>
    </cfRule>
    <cfRule type="cellIs" dxfId="408" priority="52728" stopIfTrue="1" operator="notEqual">
      <formula>"En cours"</formula>
    </cfRule>
  </conditionalFormatting>
  <conditionalFormatting sqref="AJ102">
    <cfRule type="cellIs" dxfId="407" priority="52729" stopIfTrue="1" operator="equal">
      <formula>"En cours"</formula>
    </cfRule>
  </conditionalFormatting>
  <conditionalFormatting sqref="AJ102">
    <cfRule type="cellIs" dxfId="406" priority="52730" stopIfTrue="1" operator="notEqual">
      <formula>"En cours"</formula>
    </cfRule>
  </conditionalFormatting>
  <conditionalFormatting sqref="AK102">
    <cfRule type="cellIs" dxfId="405" priority="52731" stopIfTrue="1" operator="equal">
      <formula>"En cours"</formula>
    </cfRule>
  </conditionalFormatting>
  <conditionalFormatting sqref="AK102">
    <cfRule type="cellIs" dxfId="404" priority="52732" stopIfTrue="1" operator="notEqual">
      <formula>"En cours"</formula>
    </cfRule>
  </conditionalFormatting>
  <conditionalFormatting sqref="AJ103">
    <cfRule type="cellIs" dxfId="403" priority="52733" stopIfTrue="1" operator="equal">
      <formula>"En cours"</formula>
    </cfRule>
  </conditionalFormatting>
  <conditionalFormatting sqref="AJ103">
    <cfRule type="cellIs" dxfId="402" priority="52734" stopIfTrue="1" operator="notEqual">
      <formula>"En cours"</formula>
    </cfRule>
  </conditionalFormatting>
  <conditionalFormatting sqref="AK103">
    <cfRule type="cellIs" dxfId="401" priority="52735" stopIfTrue="1" operator="equal">
      <formula>"En cours"</formula>
    </cfRule>
  </conditionalFormatting>
  <conditionalFormatting sqref="AK103">
    <cfRule type="cellIs" dxfId="400" priority="52736" stopIfTrue="1" operator="notEqual">
      <formula>"En cours"</formula>
    </cfRule>
  </conditionalFormatting>
  <conditionalFormatting sqref="AJ85">
    <cfRule type="cellIs" dxfId="399" priority="52737" stopIfTrue="1" operator="equal">
      <formula>"En cours"</formula>
    </cfRule>
  </conditionalFormatting>
  <conditionalFormatting sqref="AJ85">
    <cfRule type="cellIs" dxfId="398" priority="52738" stopIfTrue="1" operator="notEqual">
      <formula>"En cours"</formula>
    </cfRule>
  </conditionalFormatting>
  <conditionalFormatting sqref="AK85">
    <cfRule type="cellIs" dxfId="397" priority="52739" stopIfTrue="1" operator="equal">
      <formula>"En cours"</formula>
    </cfRule>
  </conditionalFormatting>
  <conditionalFormatting sqref="AK85">
    <cfRule type="cellIs" dxfId="396" priority="52740" stopIfTrue="1" operator="notEqual">
      <formula>"En cours"</formula>
    </cfRule>
  </conditionalFormatting>
  <conditionalFormatting sqref="AJ94">
    <cfRule type="cellIs" dxfId="395" priority="52741" stopIfTrue="1" operator="equal">
      <formula>"En cours"</formula>
    </cfRule>
    <cfRule type="cellIs" dxfId="394" priority="52742" stopIfTrue="1" operator="notEqual">
      <formula>"En cours"</formula>
    </cfRule>
  </conditionalFormatting>
  <conditionalFormatting sqref="AK94">
    <cfRule type="cellIs" dxfId="393" priority="52743" stopIfTrue="1" operator="equal">
      <formula>"En cours"</formula>
    </cfRule>
    <cfRule type="cellIs" dxfId="392" priority="52744" stopIfTrue="1" operator="notEqual">
      <formula>"En cours"</formula>
    </cfRule>
  </conditionalFormatting>
  <conditionalFormatting sqref="AJ88">
    <cfRule type="cellIs" dxfId="391" priority="52745" stopIfTrue="1" operator="equal">
      <formula>"En cours"</formula>
    </cfRule>
  </conditionalFormatting>
  <conditionalFormatting sqref="AJ88">
    <cfRule type="cellIs" dxfId="390" priority="52746" stopIfTrue="1" operator="notEqual">
      <formula>"En cours"</formula>
    </cfRule>
  </conditionalFormatting>
  <conditionalFormatting sqref="AK88">
    <cfRule type="cellIs" dxfId="389" priority="52747" stopIfTrue="1" operator="equal">
      <formula>"En cours"</formula>
    </cfRule>
  </conditionalFormatting>
  <conditionalFormatting sqref="AK88">
    <cfRule type="cellIs" dxfId="388" priority="52748" stopIfTrue="1" operator="notEqual">
      <formula>"En cours"</formula>
    </cfRule>
  </conditionalFormatting>
  <conditionalFormatting sqref="AJ43">
    <cfRule type="cellIs" dxfId="387" priority="52905" stopIfTrue="1" operator="equal">
      <formula>"En cours"</formula>
    </cfRule>
  </conditionalFormatting>
  <conditionalFormatting sqref="AJ43">
    <cfRule type="cellIs" dxfId="386" priority="52906" stopIfTrue="1" operator="notEqual">
      <formula>"En cours"</formula>
    </cfRule>
  </conditionalFormatting>
  <conditionalFormatting sqref="AK43">
    <cfRule type="cellIs" dxfId="385" priority="52907" stopIfTrue="1" operator="equal">
      <formula>"En cours"</formula>
    </cfRule>
  </conditionalFormatting>
  <conditionalFormatting sqref="AK43">
    <cfRule type="cellIs" dxfId="384" priority="52908" stopIfTrue="1" operator="notEqual">
      <formula>"En cours"</formula>
    </cfRule>
  </conditionalFormatting>
  <conditionalFormatting sqref="AJ44">
    <cfRule type="cellIs" dxfId="383" priority="52909" stopIfTrue="1" operator="equal">
      <formula>"En cours"</formula>
    </cfRule>
  </conditionalFormatting>
  <conditionalFormatting sqref="AJ44">
    <cfRule type="cellIs" dxfId="382" priority="52910" stopIfTrue="1" operator="notEqual">
      <formula>"En cours"</formula>
    </cfRule>
  </conditionalFormatting>
  <conditionalFormatting sqref="AK44">
    <cfRule type="cellIs" dxfId="381" priority="52911" stopIfTrue="1" operator="equal">
      <formula>"En cours"</formula>
    </cfRule>
  </conditionalFormatting>
  <conditionalFormatting sqref="AK44">
    <cfRule type="cellIs" dxfId="380" priority="52912" stopIfTrue="1" operator="notEqual">
      <formula>"En cours"</formula>
    </cfRule>
  </conditionalFormatting>
  <conditionalFormatting sqref="AJ45">
    <cfRule type="cellIs" dxfId="379" priority="52913" stopIfTrue="1" operator="equal">
      <formula>"En cours"</formula>
    </cfRule>
  </conditionalFormatting>
  <conditionalFormatting sqref="AJ45">
    <cfRule type="cellIs" dxfId="378" priority="52914" stopIfTrue="1" operator="notEqual">
      <formula>"En cours"</formula>
    </cfRule>
  </conditionalFormatting>
  <conditionalFormatting sqref="AK45">
    <cfRule type="cellIs" dxfId="377" priority="52915" stopIfTrue="1" operator="equal">
      <formula>"En cours"</formula>
    </cfRule>
  </conditionalFormatting>
  <conditionalFormatting sqref="AK45">
    <cfRule type="cellIs" dxfId="376" priority="52916" stopIfTrue="1" operator="notEqual">
      <formula>"En cours"</formula>
    </cfRule>
  </conditionalFormatting>
  <conditionalFormatting sqref="AJ46">
    <cfRule type="cellIs" dxfId="375" priority="52917" stopIfTrue="1" operator="equal">
      <formula>"En cours"</formula>
    </cfRule>
  </conditionalFormatting>
  <conditionalFormatting sqref="AJ46">
    <cfRule type="cellIs" dxfId="374" priority="52918" stopIfTrue="1" operator="notEqual">
      <formula>"En cours"</formula>
    </cfRule>
  </conditionalFormatting>
  <conditionalFormatting sqref="AK46">
    <cfRule type="cellIs" dxfId="373" priority="52919" stopIfTrue="1" operator="equal">
      <formula>"En cours"</formula>
    </cfRule>
  </conditionalFormatting>
  <conditionalFormatting sqref="AK46">
    <cfRule type="cellIs" dxfId="372" priority="52920" stopIfTrue="1" operator="notEqual">
      <formula>"En cours"</formula>
    </cfRule>
  </conditionalFormatting>
  <conditionalFormatting sqref="AJ47">
    <cfRule type="cellIs" dxfId="371" priority="52921" stopIfTrue="1" operator="equal">
      <formula>"En cours"</formula>
    </cfRule>
  </conditionalFormatting>
  <conditionalFormatting sqref="AJ47">
    <cfRule type="cellIs" dxfId="370" priority="52922" stopIfTrue="1" operator="notEqual">
      <formula>"En cours"</formula>
    </cfRule>
  </conditionalFormatting>
  <conditionalFormatting sqref="AK47">
    <cfRule type="cellIs" dxfId="369" priority="52923" stopIfTrue="1" operator="equal">
      <formula>"En cours"</formula>
    </cfRule>
  </conditionalFormatting>
  <conditionalFormatting sqref="AK47">
    <cfRule type="cellIs" dxfId="368" priority="52924" stopIfTrue="1" operator="notEqual">
      <formula>"En cours"</formula>
    </cfRule>
  </conditionalFormatting>
  <conditionalFormatting sqref="AJ48">
    <cfRule type="cellIs" dxfId="367" priority="52925" stopIfTrue="1" operator="equal">
      <formula>"En cours"</formula>
    </cfRule>
  </conditionalFormatting>
  <conditionalFormatting sqref="AJ48">
    <cfRule type="cellIs" dxfId="366" priority="52926" stopIfTrue="1" operator="notEqual">
      <formula>"En cours"</formula>
    </cfRule>
  </conditionalFormatting>
  <conditionalFormatting sqref="AK48">
    <cfRule type="cellIs" dxfId="365" priority="52927" stopIfTrue="1" operator="equal">
      <formula>"En cours"</formula>
    </cfRule>
  </conditionalFormatting>
  <conditionalFormatting sqref="AK48">
    <cfRule type="cellIs" dxfId="364" priority="52928" stopIfTrue="1" operator="notEqual">
      <formula>"En cours"</formula>
    </cfRule>
  </conditionalFormatting>
  <conditionalFormatting sqref="AJ49">
    <cfRule type="cellIs" dxfId="363" priority="52929" stopIfTrue="1" operator="equal">
      <formula>"En cours"</formula>
    </cfRule>
  </conditionalFormatting>
  <conditionalFormatting sqref="AJ49">
    <cfRule type="cellIs" dxfId="362" priority="52930" stopIfTrue="1" operator="notEqual">
      <formula>"En cours"</formula>
    </cfRule>
  </conditionalFormatting>
  <conditionalFormatting sqref="AK49">
    <cfRule type="cellIs" dxfId="361" priority="52931" stopIfTrue="1" operator="equal">
      <formula>"En cours"</formula>
    </cfRule>
  </conditionalFormatting>
  <conditionalFormatting sqref="AK49">
    <cfRule type="cellIs" dxfId="360" priority="52932" stopIfTrue="1" operator="notEqual">
      <formula>"En cours"</formula>
    </cfRule>
  </conditionalFormatting>
  <conditionalFormatting sqref="AJ50">
    <cfRule type="cellIs" dxfId="359" priority="52933" stopIfTrue="1" operator="equal">
      <formula>"En cours"</formula>
    </cfRule>
  </conditionalFormatting>
  <conditionalFormatting sqref="AJ50">
    <cfRule type="cellIs" dxfId="358" priority="52934" stopIfTrue="1" operator="notEqual">
      <formula>"En cours"</formula>
    </cfRule>
  </conditionalFormatting>
  <conditionalFormatting sqref="AK50">
    <cfRule type="cellIs" dxfId="357" priority="52935" stopIfTrue="1" operator="equal">
      <formula>"En cours"</formula>
    </cfRule>
  </conditionalFormatting>
  <conditionalFormatting sqref="AK50">
    <cfRule type="cellIs" dxfId="356" priority="52936" stopIfTrue="1" operator="notEqual">
      <formula>"En cours"</formula>
    </cfRule>
  </conditionalFormatting>
  <conditionalFormatting sqref="AJ51">
    <cfRule type="cellIs" dxfId="355" priority="52937" stopIfTrue="1" operator="equal">
      <formula>"En cours"</formula>
    </cfRule>
  </conditionalFormatting>
  <conditionalFormatting sqref="AJ51">
    <cfRule type="cellIs" dxfId="354" priority="52938" stopIfTrue="1" operator="notEqual">
      <formula>"En cours"</formula>
    </cfRule>
  </conditionalFormatting>
  <conditionalFormatting sqref="AK51">
    <cfRule type="cellIs" dxfId="353" priority="52939" stopIfTrue="1" operator="equal">
      <formula>"En cours"</formula>
    </cfRule>
  </conditionalFormatting>
  <conditionalFormatting sqref="AK51">
    <cfRule type="cellIs" dxfId="352" priority="52940" stopIfTrue="1" operator="notEqual">
      <formula>"En cours"</formula>
    </cfRule>
  </conditionalFormatting>
  <conditionalFormatting sqref="AJ52">
    <cfRule type="cellIs" dxfId="351" priority="52941" stopIfTrue="1" operator="equal">
      <formula>"En cours"</formula>
    </cfRule>
  </conditionalFormatting>
  <conditionalFormatting sqref="AJ52">
    <cfRule type="cellIs" dxfId="350" priority="52942" stopIfTrue="1" operator="notEqual">
      <formula>"En cours"</formula>
    </cfRule>
  </conditionalFormatting>
  <conditionalFormatting sqref="AK52">
    <cfRule type="cellIs" dxfId="349" priority="52943" stopIfTrue="1" operator="equal">
      <formula>"En cours"</formula>
    </cfRule>
  </conditionalFormatting>
  <conditionalFormatting sqref="AK52">
    <cfRule type="cellIs" dxfId="348" priority="52944" stopIfTrue="1" operator="notEqual">
      <formula>"En cours"</formula>
    </cfRule>
  </conditionalFormatting>
  <conditionalFormatting sqref="AJ53">
    <cfRule type="cellIs" dxfId="347" priority="52945" stopIfTrue="1" operator="equal">
      <formula>"En cours"</formula>
    </cfRule>
  </conditionalFormatting>
  <conditionalFormatting sqref="AJ53">
    <cfRule type="cellIs" dxfId="346" priority="52946" stopIfTrue="1" operator="notEqual">
      <formula>"En cours"</formula>
    </cfRule>
  </conditionalFormatting>
  <conditionalFormatting sqref="AK53">
    <cfRule type="cellIs" dxfId="345" priority="52947" stopIfTrue="1" operator="equal">
      <formula>"En cours"</formula>
    </cfRule>
  </conditionalFormatting>
  <conditionalFormatting sqref="AK53">
    <cfRule type="cellIs" dxfId="344" priority="52948" stopIfTrue="1" operator="notEqual">
      <formula>"En cours"</formula>
    </cfRule>
  </conditionalFormatting>
  <conditionalFormatting sqref="AJ54">
    <cfRule type="cellIs" dxfId="343" priority="52949" stopIfTrue="1" operator="equal">
      <formula>"En cours"</formula>
    </cfRule>
  </conditionalFormatting>
  <conditionalFormatting sqref="AJ54">
    <cfRule type="cellIs" dxfId="342" priority="52950" stopIfTrue="1" operator="notEqual">
      <formula>"En cours"</formula>
    </cfRule>
  </conditionalFormatting>
  <conditionalFormatting sqref="AK54">
    <cfRule type="cellIs" dxfId="341" priority="52951" stopIfTrue="1" operator="equal">
      <formula>"En cours"</formula>
    </cfRule>
  </conditionalFormatting>
  <conditionalFormatting sqref="AK54">
    <cfRule type="cellIs" dxfId="340" priority="52952" stopIfTrue="1" operator="notEqual">
      <formula>"En cours"</formula>
    </cfRule>
  </conditionalFormatting>
  <conditionalFormatting sqref="AJ55">
    <cfRule type="cellIs" dxfId="339" priority="52953" stopIfTrue="1" operator="equal">
      <formula>"En cours"</formula>
    </cfRule>
  </conditionalFormatting>
  <conditionalFormatting sqref="AJ55">
    <cfRule type="cellIs" dxfId="338" priority="52954" stopIfTrue="1" operator="notEqual">
      <formula>"En cours"</formula>
    </cfRule>
  </conditionalFormatting>
  <conditionalFormatting sqref="AK55">
    <cfRule type="cellIs" dxfId="337" priority="52955" stopIfTrue="1" operator="equal">
      <formula>"En cours"</formula>
    </cfRule>
  </conditionalFormatting>
  <conditionalFormatting sqref="AK55">
    <cfRule type="cellIs" dxfId="336" priority="52956" stopIfTrue="1" operator="notEqual">
      <formula>"En cours"</formula>
    </cfRule>
  </conditionalFormatting>
  <conditionalFormatting sqref="AJ56">
    <cfRule type="cellIs" dxfId="335" priority="52957" stopIfTrue="1" operator="equal">
      <formula>"En cours"</formula>
    </cfRule>
  </conditionalFormatting>
  <conditionalFormatting sqref="AJ56">
    <cfRule type="cellIs" dxfId="334" priority="52958" stopIfTrue="1" operator="notEqual">
      <formula>"En cours"</formula>
    </cfRule>
  </conditionalFormatting>
  <conditionalFormatting sqref="AK56">
    <cfRule type="cellIs" dxfId="333" priority="52959" stopIfTrue="1" operator="equal">
      <formula>"En cours"</formula>
    </cfRule>
  </conditionalFormatting>
  <conditionalFormatting sqref="AK56">
    <cfRule type="cellIs" dxfId="332" priority="52960" stopIfTrue="1" operator="notEqual">
      <formula>"En cours"</formula>
    </cfRule>
  </conditionalFormatting>
  <conditionalFormatting sqref="AJ57">
    <cfRule type="cellIs" dxfId="331" priority="52961" stopIfTrue="1" operator="equal">
      <formula>"En cours"</formula>
    </cfRule>
  </conditionalFormatting>
  <conditionalFormatting sqref="AJ57">
    <cfRule type="cellIs" dxfId="330" priority="52962" stopIfTrue="1" operator="notEqual">
      <formula>"En cours"</formula>
    </cfRule>
  </conditionalFormatting>
  <conditionalFormatting sqref="AK57">
    <cfRule type="cellIs" dxfId="329" priority="52963" stopIfTrue="1" operator="equal">
      <formula>"En cours"</formula>
    </cfRule>
  </conditionalFormatting>
  <conditionalFormatting sqref="AK57">
    <cfRule type="cellIs" dxfId="328" priority="52964" stopIfTrue="1" operator="notEqual">
      <formula>"En cours"</formula>
    </cfRule>
  </conditionalFormatting>
  <conditionalFormatting sqref="AJ58">
    <cfRule type="cellIs" dxfId="327" priority="52965" stopIfTrue="1" operator="equal">
      <formula>"En cours"</formula>
    </cfRule>
  </conditionalFormatting>
  <conditionalFormatting sqref="AJ58">
    <cfRule type="cellIs" dxfId="326" priority="52966" stopIfTrue="1" operator="notEqual">
      <formula>"En cours"</formula>
    </cfRule>
  </conditionalFormatting>
  <conditionalFormatting sqref="AK58">
    <cfRule type="cellIs" dxfId="325" priority="52967" stopIfTrue="1" operator="equal">
      <formula>"En cours"</formula>
    </cfRule>
  </conditionalFormatting>
  <conditionalFormatting sqref="AK58">
    <cfRule type="cellIs" dxfId="324" priority="52968" stopIfTrue="1" operator="notEqual">
      <formula>"En cours"</formula>
    </cfRule>
  </conditionalFormatting>
  <conditionalFormatting sqref="AJ59">
    <cfRule type="cellIs" dxfId="323" priority="52969" stopIfTrue="1" operator="equal">
      <formula>"En cours"</formula>
    </cfRule>
  </conditionalFormatting>
  <conditionalFormatting sqref="AJ59">
    <cfRule type="cellIs" dxfId="322" priority="52970" stopIfTrue="1" operator="notEqual">
      <formula>"En cours"</formula>
    </cfRule>
  </conditionalFormatting>
  <conditionalFormatting sqref="AK59">
    <cfRule type="cellIs" dxfId="321" priority="52971" stopIfTrue="1" operator="equal">
      <formula>"En cours"</formula>
    </cfRule>
  </conditionalFormatting>
  <conditionalFormatting sqref="AK59">
    <cfRule type="cellIs" dxfId="320" priority="52972" stopIfTrue="1" operator="notEqual">
      <formula>"En cours"</formula>
    </cfRule>
  </conditionalFormatting>
  <conditionalFormatting sqref="AJ60">
    <cfRule type="cellIs" dxfId="319" priority="52973" stopIfTrue="1" operator="equal">
      <formula>"En cours"</formula>
    </cfRule>
  </conditionalFormatting>
  <conditionalFormatting sqref="AJ60">
    <cfRule type="cellIs" dxfId="318" priority="52974" stopIfTrue="1" operator="notEqual">
      <formula>"En cours"</formula>
    </cfRule>
  </conditionalFormatting>
  <conditionalFormatting sqref="AK60">
    <cfRule type="cellIs" dxfId="317" priority="52975" stopIfTrue="1" operator="equal">
      <formula>"En cours"</formula>
    </cfRule>
  </conditionalFormatting>
  <conditionalFormatting sqref="AK60">
    <cfRule type="cellIs" dxfId="316" priority="52976" stopIfTrue="1" operator="notEqual">
      <formula>"En cours"</formula>
    </cfRule>
  </conditionalFormatting>
  <conditionalFormatting sqref="AJ61">
    <cfRule type="cellIs" dxfId="315" priority="52977" stopIfTrue="1" operator="equal">
      <formula>"En cours"</formula>
    </cfRule>
  </conditionalFormatting>
  <conditionalFormatting sqref="AJ61">
    <cfRule type="cellIs" dxfId="314" priority="52978" stopIfTrue="1" operator="notEqual">
      <formula>"En cours"</formula>
    </cfRule>
  </conditionalFormatting>
  <conditionalFormatting sqref="AK61">
    <cfRule type="cellIs" dxfId="313" priority="52979" stopIfTrue="1" operator="equal">
      <formula>"En cours"</formula>
    </cfRule>
  </conditionalFormatting>
  <conditionalFormatting sqref="AK61">
    <cfRule type="cellIs" dxfId="312" priority="52980" stopIfTrue="1" operator="notEqual">
      <formula>"En cours"</formula>
    </cfRule>
  </conditionalFormatting>
  <conditionalFormatting sqref="AJ62">
    <cfRule type="cellIs" dxfId="311" priority="52981" stopIfTrue="1" operator="equal">
      <formula>"En cours"</formula>
    </cfRule>
  </conditionalFormatting>
  <conditionalFormatting sqref="AJ62">
    <cfRule type="cellIs" dxfId="310" priority="52982" stopIfTrue="1" operator="notEqual">
      <formula>"En cours"</formula>
    </cfRule>
  </conditionalFormatting>
  <conditionalFormatting sqref="AK62">
    <cfRule type="cellIs" dxfId="309" priority="52983" stopIfTrue="1" operator="equal">
      <formula>"En cours"</formula>
    </cfRule>
  </conditionalFormatting>
  <conditionalFormatting sqref="AK62">
    <cfRule type="cellIs" dxfId="308" priority="52984" stopIfTrue="1" operator="notEqual">
      <formula>"En cours"</formula>
    </cfRule>
  </conditionalFormatting>
  <conditionalFormatting sqref="AJ63">
    <cfRule type="cellIs" dxfId="307" priority="52985" stopIfTrue="1" operator="equal">
      <formula>"En cours"</formula>
    </cfRule>
  </conditionalFormatting>
  <conditionalFormatting sqref="AJ63">
    <cfRule type="cellIs" dxfId="306" priority="52986" stopIfTrue="1" operator="notEqual">
      <formula>"En cours"</formula>
    </cfRule>
  </conditionalFormatting>
  <conditionalFormatting sqref="AK63">
    <cfRule type="cellIs" dxfId="305" priority="52987" stopIfTrue="1" operator="equal">
      <formula>"En cours"</formula>
    </cfRule>
  </conditionalFormatting>
  <conditionalFormatting sqref="AK63">
    <cfRule type="cellIs" dxfId="304" priority="52988" stopIfTrue="1" operator="notEqual">
      <formula>"En cours"</formula>
    </cfRule>
  </conditionalFormatting>
  <conditionalFormatting sqref="AJ64">
    <cfRule type="cellIs" dxfId="303" priority="52989" stopIfTrue="1" operator="equal">
      <formula>"En cours"</formula>
    </cfRule>
  </conditionalFormatting>
  <conditionalFormatting sqref="AJ64">
    <cfRule type="cellIs" dxfId="302" priority="52990" stopIfTrue="1" operator="notEqual">
      <formula>"En cours"</formula>
    </cfRule>
  </conditionalFormatting>
  <conditionalFormatting sqref="AK64">
    <cfRule type="cellIs" dxfId="301" priority="52991" stopIfTrue="1" operator="equal">
      <formula>"En cours"</formula>
    </cfRule>
  </conditionalFormatting>
  <conditionalFormatting sqref="AK64">
    <cfRule type="cellIs" dxfId="300" priority="52992" stopIfTrue="1" operator="notEqual">
      <formula>"En cours"</formula>
    </cfRule>
  </conditionalFormatting>
  <conditionalFormatting sqref="AJ65">
    <cfRule type="cellIs" dxfId="299" priority="52993" stopIfTrue="1" operator="equal">
      <formula>"En cours"</formula>
    </cfRule>
  </conditionalFormatting>
  <conditionalFormatting sqref="AJ65">
    <cfRule type="cellIs" dxfId="298" priority="52994" stopIfTrue="1" operator="notEqual">
      <formula>"En cours"</formula>
    </cfRule>
  </conditionalFormatting>
  <conditionalFormatting sqref="AK65">
    <cfRule type="cellIs" dxfId="297" priority="52995" stopIfTrue="1" operator="equal">
      <formula>"En cours"</formula>
    </cfRule>
  </conditionalFormatting>
  <conditionalFormatting sqref="AK65">
    <cfRule type="cellIs" dxfId="296" priority="52996" stopIfTrue="1" operator="notEqual">
      <formula>"En cours"</formula>
    </cfRule>
  </conditionalFormatting>
  <conditionalFormatting sqref="AJ66">
    <cfRule type="cellIs" dxfId="295" priority="52997" stopIfTrue="1" operator="equal">
      <formula>"En cours"</formula>
    </cfRule>
  </conditionalFormatting>
  <conditionalFormatting sqref="AJ66">
    <cfRule type="cellIs" dxfId="294" priority="52998" stopIfTrue="1" operator="notEqual">
      <formula>"En cours"</formula>
    </cfRule>
  </conditionalFormatting>
  <conditionalFormatting sqref="AK66">
    <cfRule type="cellIs" dxfId="293" priority="52999" stopIfTrue="1" operator="equal">
      <formula>"En cours"</formula>
    </cfRule>
  </conditionalFormatting>
  <conditionalFormatting sqref="AK66">
    <cfRule type="cellIs" dxfId="292" priority="53000" stopIfTrue="1" operator="notEqual">
      <formula>"En cours"</formula>
    </cfRule>
  </conditionalFormatting>
  <conditionalFormatting sqref="AJ67">
    <cfRule type="cellIs" dxfId="291" priority="53001" stopIfTrue="1" operator="equal">
      <formula>"En cours"</formula>
    </cfRule>
  </conditionalFormatting>
  <conditionalFormatting sqref="AJ67">
    <cfRule type="cellIs" dxfId="290" priority="53002" stopIfTrue="1" operator="notEqual">
      <formula>"En cours"</formula>
    </cfRule>
  </conditionalFormatting>
  <conditionalFormatting sqref="AK67">
    <cfRule type="cellIs" dxfId="289" priority="53003" stopIfTrue="1" operator="equal">
      <formula>"En cours"</formula>
    </cfRule>
  </conditionalFormatting>
  <conditionalFormatting sqref="AK67">
    <cfRule type="cellIs" dxfId="288" priority="53004" stopIfTrue="1" operator="notEqual">
      <formula>"En cours"</formula>
    </cfRule>
  </conditionalFormatting>
  <conditionalFormatting sqref="AJ7">
    <cfRule type="cellIs" dxfId="287" priority="55081" stopIfTrue="1" operator="equal">
      <formula>"En cours"</formula>
    </cfRule>
  </conditionalFormatting>
  <conditionalFormatting sqref="AJ7">
    <cfRule type="cellIs" dxfId="286" priority="55082" stopIfTrue="1" operator="notEqual">
      <formula>"En cours"</formula>
    </cfRule>
  </conditionalFormatting>
  <conditionalFormatting sqref="AK7">
    <cfRule type="cellIs" dxfId="285" priority="55083" stopIfTrue="1" operator="equal">
      <formula>"En cours"</formula>
    </cfRule>
  </conditionalFormatting>
  <conditionalFormatting sqref="AK7">
    <cfRule type="cellIs" dxfId="284" priority="55084" stopIfTrue="1" operator="notEqual">
      <formula>"En cours"</formula>
    </cfRule>
  </conditionalFormatting>
  <conditionalFormatting sqref="AJ10">
    <cfRule type="cellIs" dxfId="283" priority="55085" stopIfTrue="1" operator="equal">
      <formula>"En cours"</formula>
    </cfRule>
  </conditionalFormatting>
  <conditionalFormatting sqref="AJ10">
    <cfRule type="cellIs" dxfId="282" priority="55086" stopIfTrue="1" operator="notEqual">
      <formula>"En cours"</formula>
    </cfRule>
  </conditionalFormatting>
  <conditionalFormatting sqref="AK10">
    <cfRule type="cellIs" dxfId="281" priority="55087" stopIfTrue="1" operator="equal">
      <formula>"En cours"</formula>
    </cfRule>
  </conditionalFormatting>
  <conditionalFormatting sqref="AK10">
    <cfRule type="cellIs" dxfId="280" priority="55088" stopIfTrue="1" operator="notEqual">
      <formula>"En cours"</formula>
    </cfRule>
  </conditionalFormatting>
  <conditionalFormatting sqref="AJ6">
    <cfRule type="cellIs" dxfId="279" priority="55089" stopIfTrue="1" operator="equal">
      <formula>"En cours"</formula>
    </cfRule>
  </conditionalFormatting>
  <conditionalFormatting sqref="AJ6">
    <cfRule type="cellIs" dxfId="278" priority="55090" stopIfTrue="1" operator="notEqual">
      <formula>"En cours"</formula>
    </cfRule>
  </conditionalFormatting>
  <conditionalFormatting sqref="AK6">
    <cfRule type="cellIs" dxfId="277" priority="55091" stopIfTrue="1" operator="equal">
      <formula>"En cours"</formula>
    </cfRule>
  </conditionalFormatting>
  <conditionalFormatting sqref="AK6">
    <cfRule type="cellIs" dxfId="276" priority="55092" stopIfTrue="1" operator="notEqual">
      <formula>"En cours"</formula>
    </cfRule>
  </conditionalFormatting>
  <conditionalFormatting sqref="AJ4">
    <cfRule type="cellIs" dxfId="275" priority="55093" stopIfTrue="1" operator="equal">
      <formula>"En cours"</formula>
    </cfRule>
  </conditionalFormatting>
  <conditionalFormatting sqref="AJ4">
    <cfRule type="cellIs" dxfId="274" priority="55094" stopIfTrue="1" operator="notEqual">
      <formula>"En cours"</formula>
    </cfRule>
  </conditionalFormatting>
  <conditionalFormatting sqref="AK4">
    <cfRule type="cellIs" dxfId="273" priority="55095" stopIfTrue="1" operator="equal">
      <formula>"En cours"</formula>
    </cfRule>
  </conditionalFormatting>
  <conditionalFormatting sqref="AK4">
    <cfRule type="cellIs" dxfId="272" priority="55096" stopIfTrue="1" operator="notEqual">
      <formula>"En cours"</formula>
    </cfRule>
  </conditionalFormatting>
  <conditionalFormatting sqref="AJ14">
    <cfRule type="cellIs" dxfId="271" priority="55097" stopIfTrue="1" operator="equal">
      <formula>"En cours"</formula>
    </cfRule>
  </conditionalFormatting>
  <conditionalFormatting sqref="AJ14">
    <cfRule type="cellIs" dxfId="270" priority="55098" stopIfTrue="1" operator="notEqual">
      <formula>"En cours"</formula>
    </cfRule>
  </conditionalFormatting>
  <conditionalFormatting sqref="AK14">
    <cfRule type="cellIs" dxfId="269" priority="55099" stopIfTrue="1" operator="equal">
      <formula>"En cours"</formula>
    </cfRule>
  </conditionalFormatting>
  <conditionalFormatting sqref="AK14">
    <cfRule type="cellIs" dxfId="268" priority="55100" stopIfTrue="1" operator="notEqual">
      <formula>"En cours"</formula>
    </cfRule>
  </conditionalFormatting>
  <conditionalFormatting sqref="AJ11">
    <cfRule type="cellIs" dxfId="267" priority="55101" stopIfTrue="1" operator="equal">
      <formula>"En cours"</formula>
    </cfRule>
  </conditionalFormatting>
  <conditionalFormatting sqref="AJ11">
    <cfRule type="cellIs" dxfId="266" priority="55102" stopIfTrue="1" operator="notEqual">
      <formula>"En cours"</formula>
    </cfRule>
  </conditionalFormatting>
  <conditionalFormatting sqref="AK11">
    <cfRule type="cellIs" dxfId="265" priority="55103" stopIfTrue="1" operator="equal">
      <formula>"En cours"</formula>
    </cfRule>
  </conditionalFormatting>
  <conditionalFormatting sqref="AK11">
    <cfRule type="cellIs" dxfId="264" priority="55104" stopIfTrue="1" operator="notEqual">
      <formula>"En cours"</formula>
    </cfRule>
  </conditionalFormatting>
  <conditionalFormatting sqref="AJ5">
    <cfRule type="cellIs" dxfId="263" priority="55105" stopIfTrue="1" operator="equal">
      <formula>"En cours"</formula>
    </cfRule>
  </conditionalFormatting>
  <conditionalFormatting sqref="AJ5">
    <cfRule type="cellIs" dxfId="262" priority="55106" stopIfTrue="1" operator="notEqual">
      <formula>"En cours"</formula>
    </cfRule>
  </conditionalFormatting>
  <conditionalFormatting sqref="AK5">
    <cfRule type="cellIs" dxfId="261" priority="55107" stopIfTrue="1" operator="equal">
      <formula>"En cours"</formula>
    </cfRule>
  </conditionalFormatting>
  <conditionalFormatting sqref="AK5">
    <cfRule type="cellIs" dxfId="260" priority="55108" stopIfTrue="1" operator="notEqual">
      <formula>"En cours"</formula>
    </cfRule>
  </conditionalFormatting>
  <conditionalFormatting sqref="AJ8">
    <cfRule type="cellIs" dxfId="259" priority="55109" stopIfTrue="1" operator="equal">
      <formula>"En cours"</formula>
    </cfRule>
  </conditionalFormatting>
  <conditionalFormatting sqref="AJ8">
    <cfRule type="cellIs" dxfId="258" priority="55110" stopIfTrue="1" operator="notEqual">
      <formula>"En cours"</formula>
    </cfRule>
  </conditionalFormatting>
  <conditionalFormatting sqref="AK8">
    <cfRule type="cellIs" dxfId="257" priority="55111" stopIfTrue="1" operator="equal">
      <formula>"En cours"</formula>
    </cfRule>
  </conditionalFormatting>
  <conditionalFormatting sqref="AK8">
    <cfRule type="cellIs" dxfId="256" priority="55112" stopIfTrue="1" operator="notEqual">
      <formula>"En cours"</formula>
    </cfRule>
  </conditionalFormatting>
  <conditionalFormatting sqref="AJ13">
    <cfRule type="cellIs" dxfId="255" priority="55113" stopIfTrue="1" operator="equal">
      <formula>"En cours"</formula>
    </cfRule>
  </conditionalFormatting>
  <conditionalFormatting sqref="AJ13">
    <cfRule type="cellIs" dxfId="254" priority="55114" stopIfTrue="1" operator="notEqual">
      <formula>"En cours"</formula>
    </cfRule>
  </conditionalFormatting>
  <conditionalFormatting sqref="AK13">
    <cfRule type="cellIs" dxfId="253" priority="55115" stopIfTrue="1" operator="equal">
      <formula>"En cours"</formula>
    </cfRule>
  </conditionalFormatting>
  <conditionalFormatting sqref="AK13">
    <cfRule type="cellIs" dxfId="252" priority="55116" stopIfTrue="1" operator="notEqual">
      <formula>"En cours"</formula>
    </cfRule>
  </conditionalFormatting>
  <conditionalFormatting sqref="AJ12">
    <cfRule type="cellIs" dxfId="251" priority="55117" stopIfTrue="1" operator="equal">
      <formula>"En cours"</formula>
    </cfRule>
  </conditionalFormatting>
  <conditionalFormatting sqref="AJ12">
    <cfRule type="cellIs" dxfId="250" priority="55118" stopIfTrue="1" operator="notEqual">
      <formula>"En cours"</formula>
    </cfRule>
  </conditionalFormatting>
  <conditionalFormatting sqref="AK12">
    <cfRule type="cellIs" dxfId="249" priority="55119" stopIfTrue="1" operator="equal">
      <formula>"En cours"</formula>
    </cfRule>
  </conditionalFormatting>
  <conditionalFormatting sqref="AK12">
    <cfRule type="cellIs" dxfId="248" priority="55120" stopIfTrue="1" operator="notEqual">
      <formula>"En cours"</formula>
    </cfRule>
  </conditionalFormatting>
  <conditionalFormatting sqref="AJ9">
    <cfRule type="cellIs" dxfId="247" priority="55121" stopIfTrue="1" operator="equal">
      <formula>"En cours"</formula>
    </cfRule>
  </conditionalFormatting>
  <conditionalFormatting sqref="AJ9">
    <cfRule type="cellIs" dxfId="246" priority="55122" stopIfTrue="1" operator="notEqual">
      <formula>"En cours"</formula>
    </cfRule>
  </conditionalFormatting>
  <conditionalFormatting sqref="AK9">
    <cfRule type="cellIs" dxfId="245" priority="55123" stopIfTrue="1" operator="equal">
      <formula>"En cours"</formula>
    </cfRule>
  </conditionalFormatting>
  <conditionalFormatting sqref="AK9">
    <cfRule type="cellIs" dxfId="244" priority="55124" stopIfTrue="1" operator="notEqual">
      <formula>"En cours"</formula>
    </cfRule>
  </conditionalFormatting>
  <conditionalFormatting sqref="AJ16">
    <cfRule type="cellIs" dxfId="243" priority="55125" stopIfTrue="1" operator="equal">
      <formula>"En cours"</formula>
    </cfRule>
  </conditionalFormatting>
  <conditionalFormatting sqref="AJ16">
    <cfRule type="cellIs" dxfId="242" priority="55126" stopIfTrue="1" operator="notEqual">
      <formula>"En cours"</formula>
    </cfRule>
  </conditionalFormatting>
  <conditionalFormatting sqref="AK16">
    <cfRule type="cellIs" dxfId="241" priority="55127" stopIfTrue="1" operator="equal">
      <formula>"En cours"</formula>
    </cfRule>
  </conditionalFormatting>
  <conditionalFormatting sqref="AK16">
    <cfRule type="cellIs" dxfId="240" priority="55128" stopIfTrue="1" operator="notEqual">
      <formula>"En cours"</formula>
    </cfRule>
  </conditionalFormatting>
  <conditionalFormatting sqref="AJ17">
    <cfRule type="cellIs" dxfId="239" priority="55129" stopIfTrue="1" operator="equal">
      <formula>"En cours"</formula>
    </cfRule>
  </conditionalFormatting>
  <conditionalFormatting sqref="AJ17">
    <cfRule type="cellIs" dxfId="238" priority="55130" stopIfTrue="1" operator="notEqual">
      <formula>"En cours"</formula>
    </cfRule>
  </conditionalFormatting>
  <conditionalFormatting sqref="AK17">
    <cfRule type="cellIs" dxfId="237" priority="55131" stopIfTrue="1" operator="equal">
      <formula>"En cours"</formula>
    </cfRule>
  </conditionalFormatting>
  <conditionalFormatting sqref="AK17">
    <cfRule type="cellIs" dxfId="236" priority="55132" stopIfTrue="1" operator="notEqual">
      <formula>"En cours"</formula>
    </cfRule>
  </conditionalFormatting>
  <conditionalFormatting sqref="AJ15">
    <cfRule type="cellIs" dxfId="235" priority="55133" stopIfTrue="1" operator="equal">
      <formula>"En cours"</formula>
    </cfRule>
  </conditionalFormatting>
  <conditionalFormatting sqref="AJ15">
    <cfRule type="cellIs" dxfId="234" priority="55134" stopIfTrue="1" operator="notEqual">
      <formula>"En cours"</formula>
    </cfRule>
  </conditionalFormatting>
  <conditionalFormatting sqref="AK15">
    <cfRule type="cellIs" dxfId="233" priority="55135" stopIfTrue="1" operator="equal">
      <formula>"En cours"</formula>
    </cfRule>
  </conditionalFormatting>
  <conditionalFormatting sqref="AK15">
    <cfRule type="cellIs" dxfId="232" priority="55136" stopIfTrue="1" operator="notEqual">
      <formula>"En cours"</formula>
    </cfRule>
  </conditionalFormatting>
  <conditionalFormatting sqref="AJ18">
    <cfRule type="cellIs" dxfId="231" priority="55137" stopIfTrue="1" operator="equal">
      <formula>"En cours"</formula>
    </cfRule>
  </conditionalFormatting>
  <conditionalFormatting sqref="AJ18">
    <cfRule type="cellIs" dxfId="230" priority="55138" stopIfTrue="1" operator="notEqual">
      <formula>"En cours"</formula>
    </cfRule>
  </conditionalFormatting>
  <conditionalFormatting sqref="AK18">
    <cfRule type="cellIs" dxfId="229" priority="55139" stopIfTrue="1" operator="equal">
      <formula>"En cours"</formula>
    </cfRule>
  </conditionalFormatting>
  <conditionalFormatting sqref="AK18">
    <cfRule type="cellIs" dxfId="228" priority="55140" stopIfTrue="1" operator="notEqual">
      <formula>"En cours"</formula>
    </cfRule>
  </conditionalFormatting>
  <conditionalFormatting sqref="AJ19">
    <cfRule type="cellIs" dxfId="227" priority="55141" stopIfTrue="1" operator="equal">
      <formula>"En cours"</formula>
    </cfRule>
  </conditionalFormatting>
  <conditionalFormatting sqref="AJ19">
    <cfRule type="cellIs" dxfId="226" priority="55142" stopIfTrue="1" operator="notEqual">
      <formula>"En cours"</formula>
    </cfRule>
  </conditionalFormatting>
  <conditionalFormatting sqref="AK19">
    <cfRule type="cellIs" dxfId="225" priority="55143" stopIfTrue="1" operator="equal">
      <formula>"En cours"</formula>
    </cfRule>
  </conditionalFormatting>
  <conditionalFormatting sqref="AK19">
    <cfRule type="cellIs" dxfId="224" priority="55144" stopIfTrue="1" operator="notEqual">
      <formula>"En cours"</formula>
    </cfRule>
  </conditionalFormatting>
  <conditionalFormatting sqref="AJ22">
    <cfRule type="cellIs" dxfId="223" priority="55145" stopIfTrue="1" operator="equal">
      <formula>"En cours"</formula>
    </cfRule>
  </conditionalFormatting>
  <conditionalFormatting sqref="AJ22">
    <cfRule type="cellIs" dxfId="222" priority="55146" stopIfTrue="1" operator="notEqual">
      <formula>"En cours"</formula>
    </cfRule>
  </conditionalFormatting>
  <conditionalFormatting sqref="AK22">
    <cfRule type="cellIs" dxfId="221" priority="55147" stopIfTrue="1" operator="equal">
      <formula>"En cours"</formula>
    </cfRule>
  </conditionalFormatting>
  <conditionalFormatting sqref="AK22">
    <cfRule type="cellIs" dxfId="220" priority="55148" stopIfTrue="1" operator="notEqual">
      <formula>"En cours"</formula>
    </cfRule>
  </conditionalFormatting>
  <conditionalFormatting sqref="AJ20">
    <cfRule type="cellIs" dxfId="219" priority="55149" stopIfTrue="1" operator="equal">
      <formula>"En cours"</formula>
    </cfRule>
  </conditionalFormatting>
  <conditionalFormatting sqref="AJ20">
    <cfRule type="cellIs" dxfId="218" priority="55150" stopIfTrue="1" operator="notEqual">
      <formula>"En cours"</formula>
    </cfRule>
  </conditionalFormatting>
  <conditionalFormatting sqref="AK20">
    <cfRule type="cellIs" dxfId="217" priority="55151" stopIfTrue="1" operator="equal">
      <formula>"En cours"</formula>
    </cfRule>
  </conditionalFormatting>
  <conditionalFormatting sqref="AK20">
    <cfRule type="cellIs" dxfId="216" priority="55152" stopIfTrue="1" operator="notEqual">
      <formula>"En cours"</formula>
    </cfRule>
  </conditionalFormatting>
  <conditionalFormatting sqref="AJ23">
    <cfRule type="cellIs" dxfId="215" priority="55153" stopIfTrue="1" operator="equal">
      <formula>"En cours"</formula>
    </cfRule>
  </conditionalFormatting>
  <conditionalFormatting sqref="AJ23">
    <cfRule type="cellIs" dxfId="214" priority="55154" stopIfTrue="1" operator="notEqual">
      <formula>"En cours"</formula>
    </cfRule>
  </conditionalFormatting>
  <conditionalFormatting sqref="AK23">
    <cfRule type="cellIs" dxfId="213" priority="55155" stopIfTrue="1" operator="equal">
      <formula>"En cours"</formula>
    </cfRule>
  </conditionalFormatting>
  <conditionalFormatting sqref="AK23">
    <cfRule type="cellIs" dxfId="212" priority="55156" stopIfTrue="1" operator="notEqual">
      <formula>"En cours"</formula>
    </cfRule>
  </conditionalFormatting>
  <conditionalFormatting sqref="AJ21">
    <cfRule type="cellIs" dxfId="211" priority="55157" stopIfTrue="1" operator="equal">
      <formula>"En cours"</formula>
    </cfRule>
  </conditionalFormatting>
  <conditionalFormatting sqref="AJ21">
    <cfRule type="cellIs" dxfId="210" priority="55158" stopIfTrue="1" operator="notEqual">
      <formula>"En cours"</formula>
    </cfRule>
  </conditionalFormatting>
  <conditionalFormatting sqref="AK21">
    <cfRule type="cellIs" dxfId="209" priority="55159" stopIfTrue="1" operator="equal">
      <formula>"En cours"</formula>
    </cfRule>
  </conditionalFormatting>
  <conditionalFormatting sqref="AK21">
    <cfRule type="cellIs" dxfId="208" priority="55160" stopIfTrue="1" operator="notEqual">
      <formula>"En cours"</formula>
    </cfRule>
  </conditionalFormatting>
  <conditionalFormatting sqref="AJ27">
    <cfRule type="cellIs" dxfId="207" priority="55161" stopIfTrue="1" operator="equal">
      <formula>"En cours"</formula>
    </cfRule>
  </conditionalFormatting>
  <conditionalFormatting sqref="AJ27">
    <cfRule type="cellIs" dxfId="206" priority="55162" stopIfTrue="1" operator="notEqual">
      <formula>"En cours"</formula>
    </cfRule>
  </conditionalFormatting>
  <conditionalFormatting sqref="AK27">
    <cfRule type="cellIs" dxfId="205" priority="55163" stopIfTrue="1" operator="equal">
      <formula>"En cours"</formula>
    </cfRule>
  </conditionalFormatting>
  <conditionalFormatting sqref="AK27">
    <cfRule type="cellIs" dxfId="204" priority="55164" stopIfTrue="1" operator="notEqual">
      <formula>"En cours"</formula>
    </cfRule>
  </conditionalFormatting>
  <conditionalFormatting sqref="AJ26">
    <cfRule type="cellIs" dxfId="203" priority="55165" stopIfTrue="1" operator="equal">
      <formula>"En cours"</formula>
    </cfRule>
  </conditionalFormatting>
  <conditionalFormatting sqref="AJ26">
    <cfRule type="cellIs" dxfId="202" priority="55166" stopIfTrue="1" operator="notEqual">
      <formula>"En cours"</formula>
    </cfRule>
  </conditionalFormatting>
  <conditionalFormatting sqref="AK26">
    <cfRule type="cellIs" dxfId="201" priority="55167" stopIfTrue="1" operator="equal">
      <formula>"En cours"</formula>
    </cfRule>
  </conditionalFormatting>
  <conditionalFormatting sqref="AK26">
    <cfRule type="cellIs" dxfId="200" priority="55168" stopIfTrue="1" operator="notEqual">
      <formula>"En cours"</formula>
    </cfRule>
  </conditionalFormatting>
  <conditionalFormatting sqref="AJ24">
    <cfRule type="cellIs" dxfId="199" priority="55169" stopIfTrue="1" operator="equal">
      <formula>"En cours"</formula>
    </cfRule>
  </conditionalFormatting>
  <conditionalFormatting sqref="AJ24">
    <cfRule type="cellIs" dxfId="198" priority="55170" stopIfTrue="1" operator="notEqual">
      <formula>"En cours"</formula>
    </cfRule>
  </conditionalFormatting>
  <conditionalFormatting sqref="AK24">
    <cfRule type="cellIs" dxfId="197" priority="55171" stopIfTrue="1" operator="equal">
      <formula>"En cours"</formula>
    </cfRule>
  </conditionalFormatting>
  <conditionalFormatting sqref="AK24">
    <cfRule type="cellIs" dxfId="196" priority="55172" stopIfTrue="1" operator="notEqual">
      <formula>"En cours"</formula>
    </cfRule>
  </conditionalFormatting>
  <conditionalFormatting sqref="AJ28">
    <cfRule type="cellIs" dxfId="195" priority="55173" stopIfTrue="1" operator="equal">
      <formula>"En cours"</formula>
    </cfRule>
  </conditionalFormatting>
  <conditionalFormatting sqref="AJ28">
    <cfRule type="cellIs" dxfId="194" priority="55174" stopIfTrue="1" operator="notEqual">
      <formula>"En cours"</formula>
    </cfRule>
  </conditionalFormatting>
  <conditionalFormatting sqref="AK28">
    <cfRule type="cellIs" dxfId="193" priority="55175" stopIfTrue="1" operator="equal">
      <formula>"En cours"</formula>
    </cfRule>
  </conditionalFormatting>
  <conditionalFormatting sqref="AK28">
    <cfRule type="cellIs" dxfId="192" priority="55176" stopIfTrue="1" operator="notEqual">
      <formula>"En cours"</formula>
    </cfRule>
  </conditionalFormatting>
  <conditionalFormatting sqref="AJ25">
    <cfRule type="cellIs" dxfId="191" priority="55177" stopIfTrue="1" operator="equal">
      <formula>"En cours"</formula>
    </cfRule>
  </conditionalFormatting>
  <conditionalFormatting sqref="AJ25">
    <cfRule type="cellIs" dxfId="190" priority="55178" stopIfTrue="1" operator="notEqual">
      <formula>"En cours"</formula>
    </cfRule>
  </conditionalFormatting>
  <conditionalFormatting sqref="AK25">
    <cfRule type="cellIs" dxfId="189" priority="55179" stopIfTrue="1" operator="equal">
      <formula>"En cours"</formula>
    </cfRule>
  </conditionalFormatting>
  <conditionalFormatting sqref="AK25">
    <cfRule type="cellIs" dxfId="188" priority="55180" stopIfTrue="1" operator="notEqual">
      <formula>"En cours"</formula>
    </cfRule>
  </conditionalFormatting>
  <conditionalFormatting sqref="AJ29">
    <cfRule type="cellIs" dxfId="187" priority="55181" stopIfTrue="1" operator="equal">
      <formula>"En cours"</formula>
    </cfRule>
  </conditionalFormatting>
  <conditionalFormatting sqref="AJ29">
    <cfRule type="cellIs" dxfId="186" priority="55182" stopIfTrue="1" operator="notEqual">
      <formula>"En cours"</formula>
    </cfRule>
  </conditionalFormatting>
  <conditionalFormatting sqref="AK29">
    <cfRule type="cellIs" dxfId="185" priority="55183" stopIfTrue="1" operator="equal">
      <formula>"En cours"</formula>
    </cfRule>
  </conditionalFormatting>
  <conditionalFormatting sqref="AK29">
    <cfRule type="cellIs" dxfId="184" priority="55184" stopIfTrue="1" operator="notEqual">
      <formula>"En cours"</formula>
    </cfRule>
  </conditionalFormatting>
  <conditionalFormatting sqref="AJ30">
    <cfRule type="cellIs" dxfId="183" priority="55185" stopIfTrue="1" operator="equal">
      <formula>"En cours"</formula>
    </cfRule>
  </conditionalFormatting>
  <conditionalFormatting sqref="AJ30">
    <cfRule type="cellIs" dxfId="182" priority="55186" stopIfTrue="1" operator="notEqual">
      <formula>"En cours"</formula>
    </cfRule>
  </conditionalFormatting>
  <conditionalFormatting sqref="AK30">
    <cfRule type="cellIs" dxfId="181" priority="55187" stopIfTrue="1" operator="equal">
      <formula>"En cours"</formula>
    </cfRule>
  </conditionalFormatting>
  <conditionalFormatting sqref="AK30">
    <cfRule type="cellIs" dxfId="180" priority="55188" stopIfTrue="1" operator="notEqual">
      <formula>"En cours"</formula>
    </cfRule>
  </conditionalFormatting>
  <conditionalFormatting sqref="AJ31">
    <cfRule type="cellIs" dxfId="179" priority="55189" stopIfTrue="1" operator="equal">
      <formula>"En cours"</formula>
    </cfRule>
  </conditionalFormatting>
  <conditionalFormatting sqref="AJ31">
    <cfRule type="cellIs" dxfId="178" priority="55190" stopIfTrue="1" operator="notEqual">
      <formula>"En cours"</formula>
    </cfRule>
  </conditionalFormatting>
  <conditionalFormatting sqref="AK31">
    <cfRule type="cellIs" dxfId="177" priority="55191" stopIfTrue="1" operator="equal">
      <formula>"En cours"</formula>
    </cfRule>
  </conditionalFormatting>
  <conditionalFormatting sqref="AK31">
    <cfRule type="cellIs" dxfId="176" priority="55192" stopIfTrue="1" operator="notEqual">
      <formula>"En cours"</formula>
    </cfRule>
  </conditionalFormatting>
  <conditionalFormatting sqref="AJ32">
    <cfRule type="cellIs" dxfId="175" priority="55193" stopIfTrue="1" operator="equal">
      <formula>"En cours"</formula>
    </cfRule>
  </conditionalFormatting>
  <conditionalFormatting sqref="AJ32">
    <cfRule type="cellIs" dxfId="174" priority="55194" stopIfTrue="1" operator="notEqual">
      <formula>"En cours"</formula>
    </cfRule>
  </conditionalFormatting>
  <conditionalFormatting sqref="AK32">
    <cfRule type="cellIs" dxfId="173" priority="55195" stopIfTrue="1" operator="equal">
      <formula>"En cours"</formula>
    </cfRule>
  </conditionalFormatting>
  <conditionalFormatting sqref="AK32">
    <cfRule type="cellIs" dxfId="172" priority="55196" stopIfTrue="1" operator="notEqual">
      <formula>"En cours"</formula>
    </cfRule>
  </conditionalFormatting>
  <conditionalFormatting sqref="AJ33">
    <cfRule type="cellIs" dxfId="171" priority="55197" stopIfTrue="1" operator="equal">
      <formula>"En cours"</formula>
    </cfRule>
  </conditionalFormatting>
  <conditionalFormatting sqref="AJ33">
    <cfRule type="cellIs" dxfId="170" priority="55198" stopIfTrue="1" operator="notEqual">
      <formula>"En cours"</formula>
    </cfRule>
  </conditionalFormatting>
  <conditionalFormatting sqref="AK33">
    <cfRule type="cellIs" dxfId="169" priority="55199" stopIfTrue="1" operator="equal">
      <formula>"En cours"</formula>
    </cfRule>
  </conditionalFormatting>
  <conditionalFormatting sqref="AK33">
    <cfRule type="cellIs" dxfId="168" priority="55200" stopIfTrue="1" operator="notEqual">
      <formula>"En cours"</formula>
    </cfRule>
  </conditionalFormatting>
  <conditionalFormatting sqref="AJ35">
    <cfRule type="cellIs" dxfId="167" priority="55201" stopIfTrue="1" operator="equal">
      <formula>"En cours"</formula>
    </cfRule>
  </conditionalFormatting>
  <conditionalFormatting sqref="AJ35">
    <cfRule type="cellIs" dxfId="166" priority="55202" stopIfTrue="1" operator="notEqual">
      <formula>"En cours"</formula>
    </cfRule>
  </conditionalFormatting>
  <conditionalFormatting sqref="AK35">
    <cfRule type="cellIs" dxfId="165" priority="55203" stopIfTrue="1" operator="equal">
      <formula>"En cours"</formula>
    </cfRule>
  </conditionalFormatting>
  <conditionalFormatting sqref="AK35">
    <cfRule type="cellIs" dxfId="164" priority="55204" stopIfTrue="1" operator="notEqual">
      <formula>"En cours"</formula>
    </cfRule>
  </conditionalFormatting>
  <conditionalFormatting sqref="AJ36">
    <cfRule type="cellIs" dxfId="163" priority="55205" stopIfTrue="1" operator="equal">
      <formula>"En cours"</formula>
    </cfRule>
  </conditionalFormatting>
  <conditionalFormatting sqref="AJ36">
    <cfRule type="cellIs" dxfId="162" priority="55206" stopIfTrue="1" operator="notEqual">
      <formula>"En cours"</formula>
    </cfRule>
  </conditionalFormatting>
  <conditionalFormatting sqref="AK36">
    <cfRule type="cellIs" dxfId="161" priority="55207" stopIfTrue="1" operator="equal">
      <formula>"En cours"</formula>
    </cfRule>
  </conditionalFormatting>
  <conditionalFormatting sqref="AK36">
    <cfRule type="cellIs" dxfId="160" priority="55208" stopIfTrue="1" operator="notEqual">
      <formula>"En cours"</formula>
    </cfRule>
  </conditionalFormatting>
  <conditionalFormatting sqref="AJ38">
    <cfRule type="cellIs" dxfId="159" priority="55209" stopIfTrue="1" operator="equal">
      <formula>"En cours"</formula>
    </cfRule>
  </conditionalFormatting>
  <conditionalFormatting sqref="AJ38">
    <cfRule type="cellIs" dxfId="158" priority="55210" stopIfTrue="1" operator="notEqual">
      <formula>"En cours"</formula>
    </cfRule>
  </conditionalFormatting>
  <conditionalFormatting sqref="AK38">
    <cfRule type="cellIs" dxfId="157" priority="55211" stopIfTrue="1" operator="equal">
      <formula>"En cours"</formula>
    </cfRule>
  </conditionalFormatting>
  <conditionalFormatting sqref="AK38">
    <cfRule type="cellIs" dxfId="156" priority="55212" stopIfTrue="1" operator="notEqual">
      <formula>"En cours"</formula>
    </cfRule>
  </conditionalFormatting>
  <conditionalFormatting sqref="AJ34">
    <cfRule type="cellIs" dxfId="155" priority="55213" stopIfTrue="1" operator="equal">
      <formula>"En cours"</formula>
    </cfRule>
  </conditionalFormatting>
  <conditionalFormatting sqref="AJ34">
    <cfRule type="cellIs" dxfId="154" priority="55214" stopIfTrue="1" operator="notEqual">
      <formula>"En cours"</formula>
    </cfRule>
  </conditionalFormatting>
  <conditionalFormatting sqref="AK34">
    <cfRule type="cellIs" dxfId="153" priority="55215" stopIfTrue="1" operator="equal">
      <formula>"En cours"</formula>
    </cfRule>
  </conditionalFormatting>
  <conditionalFormatting sqref="AK34">
    <cfRule type="cellIs" dxfId="152" priority="55216" stopIfTrue="1" operator="notEqual">
      <formula>"En cours"</formula>
    </cfRule>
  </conditionalFormatting>
  <conditionalFormatting sqref="AJ37">
    <cfRule type="cellIs" dxfId="151" priority="55217" stopIfTrue="1" operator="equal">
      <formula>"En cours"</formula>
    </cfRule>
  </conditionalFormatting>
  <conditionalFormatting sqref="AJ37">
    <cfRule type="cellIs" dxfId="150" priority="55218" stopIfTrue="1" operator="notEqual">
      <formula>"En cours"</formula>
    </cfRule>
  </conditionalFormatting>
  <conditionalFormatting sqref="AK37">
    <cfRule type="cellIs" dxfId="149" priority="55219" stopIfTrue="1" operator="equal">
      <formula>"En cours"</formula>
    </cfRule>
  </conditionalFormatting>
  <conditionalFormatting sqref="AK37">
    <cfRule type="cellIs" dxfId="148" priority="55220" stopIfTrue="1" operator="notEqual">
      <formula>"En cours"</formula>
    </cfRule>
  </conditionalFormatting>
  <conditionalFormatting sqref="AJ39">
    <cfRule type="cellIs" dxfId="147" priority="55221" stopIfTrue="1" operator="equal">
      <formula>"En cours"</formula>
    </cfRule>
  </conditionalFormatting>
  <conditionalFormatting sqref="AJ39">
    <cfRule type="cellIs" dxfId="146" priority="55222" stopIfTrue="1" operator="notEqual">
      <formula>"En cours"</formula>
    </cfRule>
  </conditionalFormatting>
  <conditionalFormatting sqref="AK39">
    <cfRule type="cellIs" dxfId="145" priority="55223" stopIfTrue="1" operator="equal">
      <formula>"En cours"</formula>
    </cfRule>
  </conditionalFormatting>
  <conditionalFormatting sqref="AK39">
    <cfRule type="cellIs" dxfId="144" priority="55224" stopIfTrue="1" operator="notEqual">
      <formula>"En cours"</formula>
    </cfRule>
  </conditionalFormatting>
  <conditionalFormatting sqref="AJ40">
    <cfRule type="cellIs" dxfId="143" priority="55225" stopIfTrue="1" operator="equal">
      <formula>"En cours"</formula>
    </cfRule>
  </conditionalFormatting>
  <conditionalFormatting sqref="AJ40">
    <cfRule type="cellIs" dxfId="142" priority="55226" stopIfTrue="1" operator="notEqual">
      <formula>"En cours"</formula>
    </cfRule>
  </conditionalFormatting>
  <conditionalFormatting sqref="AK40">
    <cfRule type="cellIs" dxfId="141" priority="55227" stopIfTrue="1" operator="equal">
      <formula>"En cours"</formula>
    </cfRule>
  </conditionalFormatting>
  <conditionalFormatting sqref="AK40">
    <cfRule type="cellIs" dxfId="140" priority="55228" stopIfTrue="1" operator="notEqual">
      <formula>"En cours"</formula>
    </cfRule>
  </conditionalFormatting>
  <conditionalFormatting sqref="AJ41">
    <cfRule type="cellIs" dxfId="139" priority="55229" stopIfTrue="1" operator="equal">
      <formula>"En cours"</formula>
    </cfRule>
  </conditionalFormatting>
  <conditionalFormatting sqref="AJ41">
    <cfRule type="cellIs" dxfId="138" priority="55230" stopIfTrue="1" operator="notEqual">
      <formula>"En cours"</formula>
    </cfRule>
  </conditionalFormatting>
  <conditionalFormatting sqref="AK41">
    <cfRule type="cellIs" dxfId="137" priority="55231" stopIfTrue="1" operator="equal">
      <formula>"En cours"</formula>
    </cfRule>
  </conditionalFormatting>
  <conditionalFormatting sqref="AK41">
    <cfRule type="cellIs" dxfId="136" priority="55232" stopIfTrue="1" operator="notEqual">
      <formula>"En cours"</formula>
    </cfRule>
  </conditionalFormatting>
  <conditionalFormatting sqref="AJ42">
    <cfRule type="cellIs" dxfId="135" priority="55233" stopIfTrue="1" operator="equal">
      <formula>"En cours"</formula>
    </cfRule>
  </conditionalFormatting>
  <conditionalFormatting sqref="AJ42">
    <cfRule type="cellIs" dxfId="134" priority="55234" stopIfTrue="1" operator="notEqual">
      <formula>"En cours"</formula>
    </cfRule>
  </conditionalFormatting>
  <conditionalFormatting sqref="AK42">
    <cfRule type="cellIs" dxfId="133" priority="55235" stopIfTrue="1" operator="equal">
      <formula>"En cours"</formula>
    </cfRule>
  </conditionalFormatting>
  <conditionalFormatting sqref="AK42">
    <cfRule type="cellIs" dxfId="132" priority="5523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38</v>
      </c>
      <c r="E2" s="19"/>
      <c r="F2" s="173" t="s">
        <v>19</v>
      </c>
      <c r="G2" s="174"/>
      <c r="H2" s="174"/>
      <c r="I2" s="175"/>
      <c r="J2" s="176" t="s">
        <v>20</v>
      </c>
      <c r="K2" s="177"/>
      <c r="L2" s="177"/>
      <c r="M2" s="178"/>
      <c r="N2" s="179" t="s">
        <v>21</v>
      </c>
      <c r="O2" s="174"/>
      <c r="P2" s="174"/>
      <c r="Q2" s="175"/>
      <c r="R2" s="176" t="s">
        <v>22</v>
      </c>
      <c r="S2" s="177"/>
      <c r="T2" s="177"/>
      <c r="U2" s="178"/>
      <c r="V2" s="179" t="s">
        <v>23</v>
      </c>
      <c r="W2" s="174"/>
      <c r="X2" s="174"/>
      <c r="Y2" s="175"/>
      <c r="Z2" s="176" t="s">
        <v>24</v>
      </c>
      <c r="AA2" s="177"/>
      <c r="AB2" s="177"/>
      <c r="AC2" s="180"/>
      <c r="AD2" s="166" t="s">
        <v>25</v>
      </c>
      <c r="AE2" s="167"/>
      <c r="AF2" s="168" t="s">
        <v>18</v>
      </c>
      <c r="AG2" s="169"/>
      <c r="AH2" s="169"/>
      <c r="AI2" s="170"/>
      <c r="AJ2" s="171" t="s">
        <v>26</v>
      </c>
      <c r="AK2" s="172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>IF(MIN(F4,J4,N4,R4,V4,Z4)&lt;&gt;0,MIN(F4,J4,N4,R4,V4,Z4),"")</f>
        <v/>
      </c>
      <c r="AE4" s="147" t="str">
        <f>IF(MIN(H4,L4,P4,T4,X4,AB4)&lt;&gt;0,MIN(H4,L4,P4,T4,X4,AB4),"")</f>
        <v/>
      </c>
      <c r="AF4" s="147"/>
      <c r="AG4" s="146"/>
      <c r="AH4" s="147"/>
      <c r="AI4" s="146"/>
      <c r="AJ4" s="145" t="str">
        <f>IF(AD4="","",IF(ISBLANK(AF4),"En cours",AD4+AF4))</f>
        <v/>
      </c>
      <c r="AK4" s="145" t="str">
        <f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>IF(MIN(F5,J5,N5,R5,V5,Z5)&lt;&gt;0,MIN(F5,J5,N5,R5,V5,Z5),"")</f>
        <v/>
      </c>
      <c r="AE5" s="147" t="str">
        <f>IF(MIN(H5,L5,P5,T5,X5,AB5)&lt;&gt;0,MIN(H5,L5,P5,T5,X5,AB5),"")</f>
        <v/>
      </c>
      <c r="AF5" s="147"/>
      <c r="AG5" s="146"/>
      <c r="AH5" s="147"/>
      <c r="AI5" s="146"/>
      <c r="AJ5" s="145" t="str">
        <f>IF(AD5="","",IF(ISBLANK(AF5),"En cours",AD5+AF5))</f>
        <v/>
      </c>
      <c r="AK5" s="145" t="str">
        <f>IF(AE5="","",IF(ISBLANK(AH5),"En cours",AE5+AH5))</f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>IF(MIN(F6,J6,N6,R6,V6,Z6)&lt;&gt;0,MIN(F6,J6,N6,R6,V6,Z6),"")</f>
        <v/>
      </c>
      <c r="AE6" s="147" t="str">
        <f>IF(MIN(H6,L6,P6,T6,X6,AB6)&lt;&gt;0,MIN(H6,L6,P6,T6,X6,AB6),"")</f>
        <v/>
      </c>
      <c r="AF6" s="147"/>
      <c r="AG6" s="146"/>
      <c r="AH6" s="147"/>
      <c r="AI6" s="146"/>
      <c r="AJ6" s="145" t="str">
        <f>IF(AD6="","",IF(ISBLANK(AF6),"En cours",AD6+AF6))</f>
        <v/>
      </c>
      <c r="AK6" s="145" t="str">
        <f>IF(AE6="","",IF(ISBLANK(AH6),"En cours",AE6+AH6))</f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>IF(MIN(F7,J7,N7,R7,V7,Z7)&lt;&gt;0,MIN(F7,J7,N7,R7,V7,Z7),"")</f>
        <v/>
      </c>
      <c r="AE7" s="147" t="str">
        <f>IF(MIN(H7,L7,P7,T7,X7,AB7)&lt;&gt;0,MIN(H7,L7,P7,T7,X7,AB7),"")</f>
        <v/>
      </c>
      <c r="AF7" s="147"/>
      <c r="AG7" s="146"/>
      <c r="AH7" s="147"/>
      <c r="AI7" s="146"/>
      <c r="AJ7" s="145" t="str">
        <f>IF(AD7="","",IF(ISBLANK(AF7),"En cours",AD7+AF7))</f>
        <v/>
      </c>
      <c r="AK7" s="145" t="str">
        <f>IF(AE7="","",IF(ISBLANK(AH7),"En cours",AE7+AH7))</f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>IF(MIN(F8,J8,N8,R8,V8,Z8)&lt;&gt;0,MIN(F8,J8,N8,R8,V8,Z8),"")</f>
        <v/>
      </c>
      <c r="AE8" s="147" t="str">
        <f>IF(MIN(H8,L8,P8,T8,X8,AB8)&lt;&gt;0,MIN(H8,L8,P8,T8,X8,AB8),"")</f>
        <v/>
      </c>
      <c r="AF8" s="147"/>
      <c r="AG8" s="146"/>
      <c r="AH8" s="147"/>
      <c r="AI8" s="146"/>
      <c r="AJ8" s="145" t="str">
        <f>IF(AD8="","",IF(ISBLANK(AF8),"En cours",AD8+AF8))</f>
        <v/>
      </c>
      <c r="AK8" s="145" t="str">
        <f>IF(AE8="","",IF(ISBLANK(AH8),"En cours",AE8+AH8))</f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 t="shared" ref="AD9:AD67" si="0">IF(MIN(F9,J9,N9,R9,V9,Z9)&lt;&gt;0,MIN(F9,J9,N9,R9,V9,Z9),"")</f>
        <v/>
      </c>
      <c r="AE9" s="147" t="str">
        <f t="shared" ref="AE9:AE67" si="1">IF(MIN(H9,L9,P9,T9,X9,AB9)&lt;&gt;0,MIN(H9,L9,P9,T9,X9,AB9),"")</f>
        <v/>
      </c>
      <c r="AF9" s="147"/>
      <c r="AG9" s="146"/>
      <c r="AH9" s="147"/>
      <c r="AI9" s="146"/>
      <c r="AJ9" s="145" t="str">
        <f t="shared" ref="AJ9:AJ67" si="2">IF(AD9="","",IF(ISBLANK(AF9),"En cours",AD9+AF9))</f>
        <v/>
      </c>
      <c r="AK9" s="145" t="str">
        <f t="shared" ref="AK9:AK67" si="3">IF(AE9="","",IF(ISBLANK(AH9),"En cours",AE9+AH9))</f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 t="shared" si="0"/>
        <v/>
      </c>
      <c r="AE10" s="147" t="str">
        <f t="shared" si="1"/>
        <v/>
      </c>
      <c r="AF10" s="147"/>
      <c r="AG10" s="146"/>
      <c r="AH10" s="147"/>
      <c r="AI10" s="146"/>
      <c r="AJ10" s="145" t="str">
        <f t="shared" si="2"/>
        <v/>
      </c>
      <c r="AK10" s="145" t="str">
        <f t="shared" si="3"/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 t="shared" si="0"/>
        <v/>
      </c>
      <c r="AE11" s="147" t="str">
        <f t="shared" si="1"/>
        <v/>
      </c>
      <c r="AF11" s="147"/>
      <c r="AG11" s="146"/>
      <c r="AH11" s="147"/>
      <c r="AI11" s="146"/>
      <c r="AJ11" s="145" t="str">
        <f t="shared" si="2"/>
        <v/>
      </c>
      <c r="AK11" s="145" t="str">
        <f t="shared" si="3"/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 t="shared" si="0"/>
        <v/>
      </c>
      <c r="AE12" s="147" t="str">
        <f t="shared" si="1"/>
        <v/>
      </c>
      <c r="AF12" s="147"/>
      <c r="AG12" s="146"/>
      <c r="AH12" s="147"/>
      <c r="AI12" s="146"/>
      <c r="AJ12" s="145" t="str">
        <f t="shared" si="2"/>
        <v/>
      </c>
      <c r="AK12" s="145" t="str">
        <f t="shared" si="3"/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 t="shared" si="0"/>
        <v/>
      </c>
      <c r="AE13" s="147" t="str">
        <f t="shared" si="1"/>
        <v/>
      </c>
      <c r="AF13" s="147"/>
      <c r="AG13" s="146"/>
      <c r="AH13" s="147"/>
      <c r="AI13" s="146"/>
      <c r="AJ13" s="145" t="str">
        <f t="shared" si="2"/>
        <v/>
      </c>
      <c r="AK13" s="145" t="str">
        <f t="shared" si="3"/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 t="shared" si="0"/>
        <v/>
      </c>
      <c r="AE14" s="147" t="str">
        <f t="shared" si="1"/>
        <v/>
      </c>
      <c r="AF14" s="147"/>
      <c r="AG14" s="146"/>
      <c r="AH14" s="147"/>
      <c r="AI14" s="146"/>
      <c r="AJ14" s="145" t="str">
        <f t="shared" si="2"/>
        <v/>
      </c>
      <c r="AK14" s="145" t="str">
        <f t="shared" si="3"/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 t="shared" si="0"/>
        <v/>
      </c>
      <c r="AE15" s="147" t="str">
        <f t="shared" si="1"/>
        <v/>
      </c>
      <c r="AF15" s="147"/>
      <c r="AG15" s="146"/>
      <c r="AH15" s="147"/>
      <c r="AI15" s="146"/>
      <c r="AJ15" s="145" t="str">
        <f t="shared" si="2"/>
        <v/>
      </c>
      <c r="AK15" s="145" t="str">
        <f t="shared" si="3"/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 t="shared" si="0"/>
        <v/>
      </c>
      <c r="AE16" s="147" t="str">
        <f t="shared" si="1"/>
        <v/>
      </c>
      <c r="AF16" s="147"/>
      <c r="AG16" s="146"/>
      <c r="AH16" s="147"/>
      <c r="AI16" s="146"/>
      <c r="AJ16" s="145" t="str">
        <f t="shared" si="2"/>
        <v/>
      </c>
      <c r="AK16" s="145" t="str">
        <f t="shared" si="3"/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 t="shared" si="0"/>
        <v/>
      </c>
      <c r="AE17" s="147" t="str">
        <f t="shared" si="1"/>
        <v/>
      </c>
      <c r="AF17" s="147"/>
      <c r="AG17" s="146"/>
      <c r="AH17" s="147"/>
      <c r="AI17" s="146"/>
      <c r="AJ17" s="145" t="str">
        <f t="shared" si="2"/>
        <v/>
      </c>
      <c r="AK17" s="145" t="str">
        <f t="shared" si="3"/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 t="shared" si="0"/>
        <v/>
      </c>
      <c r="AE18" s="147" t="str">
        <f t="shared" si="1"/>
        <v/>
      </c>
      <c r="AF18" s="147"/>
      <c r="AG18" s="146"/>
      <c r="AH18" s="147"/>
      <c r="AI18" s="146"/>
      <c r="AJ18" s="145" t="str">
        <f t="shared" si="2"/>
        <v/>
      </c>
      <c r="AK18" s="145" t="str">
        <f t="shared" si="3"/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 t="shared" si="0"/>
        <v/>
      </c>
      <c r="AE19" s="147" t="str">
        <f t="shared" si="1"/>
        <v/>
      </c>
      <c r="AF19" s="147"/>
      <c r="AG19" s="146"/>
      <c r="AH19" s="147"/>
      <c r="AI19" s="146"/>
      <c r="AJ19" s="145" t="str">
        <f t="shared" si="2"/>
        <v/>
      </c>
      <c r="AK19" s="145" t="str">
        <f t="shared" si="3"/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 t="shared" si="0"/>
        <v/>
      </c>
      <c r="AE20" s="147" t="str">
        <f t="shared" si="1"/>
        <v/>
      </c>
      <c r="AF20" s="147"/>
      <c r="AG20" s="146"/>
      <c r="AH20" s="147"/>
      <c r="AI20" s="146"/>
      <c r="AJ20" s="145" t="str">
        <f t="shared" si="2"/>
        <v/>
      </c>
      <c r="AK20" s="145" t="str">
        <f t="shared" si="3"/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si="0"/>
        <v/>
      </c>
      <c r="AE21" s="147" t="str">
        <f t="shared" si="1"/>
        <v/>
      </c>
      <c r="AF21" s="147"/>
      <c r="AG21" s="146"/>
      <c r="AH21" s="147"/>
      <c r="AI21" s="146"/>
      <c r="AJ21" s="145" t="str">
        <f t="shared" si="2"/>
        <v/>
      </c>
      <c r="AK21" s="145" t="str">
        <f t="shared" si="3"/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0"/>
        <v/>
      </c>
      <c r="AE22" s="147" t="str">
        <f t="shared" si="1"/>
        <v/>
      </c>
      <c r="AF22" s="147"/>
      <c r="AG22" s="146"/>
      <c r="AH22" s="147"/>
      <c r="AI22" s="146"/>
      <c r="AJ22" s="145" t="str">
        <f t="shared" si="2"/>
        <v/>
      </c>
      <c r="AK22" s="145" t="str">
        <f t="shared" si="3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si="0"/>
        <v/>
      </c>
      <c r="AE23" s="147" t="str">
        <f t="shared" si="1"/>
        <v/>
      </c>
      <c r="AF23" s="147"/>
      <c r="AG23" s="146"/>
      <c r="AH23" s="147"/>
      <c r="AI23" s="146"/>
      <c r="AJ23" s="145" t="str">
        <f t="shared" si="2"/>
        <v/>
      </c>
      <c r="AK23" s="145" t="str">
        <f t="shared" si="3"/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0"/>
        <v/>
      </c>
      <c r="AE24" s="147" t="str">
        <f t="shared" si="1"/>
        <v/>
      </c>
      <c r="AF24" s="147"/>
      <c r="AG24" s="146"/>
      <c r="AH24" s="147"/>
      <c r="AI24" s="146"/>
      <c r="AJ24" s="145" t="str">
        <f t="shared" si="2"/>
        <v/>
      </c>
      <c r="AK24" s="145" t="str">
        <f t="shared" si="3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0"/>
        <v/>
      </c>
      <c r="AE25" s="147" t="str">
        <f t="shared" si="1"/>
        <v/>
      </c>
      <c r="AF25" s="147"/>
      <c r="AG25" s="146"/>
      <c r="AH25" s="147"/>
      <c r="AI25" s="146"/>
      <c r="AJ25" s="145" t="str">
        <f t="shared" si="2"/>
        <v/>
      </c>
      <c r="AK25" s="145" t="str">
        <f t="shared" si="3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0"/>
        <v/>
      </c>
      <c r="AE26" s="147" t="str">
        <f t="shared" si="1"/>
        <v/>
      </c>
      <c r="AF26" s="147"/>
      <c r="AG26" s="146"/>
      <c r="AH26" s="147"/>
      <c r="AI26" s="146"/>
      <c r="AJ26" s="145" t="str">
        <f t="shared" si="2"/>
        <v/>
      </c>
      <c r="AK26" s="145" t="str">
        <f t="shared" si="3"/>
        <v/>
      </c>
    </row>
    <row r="27" spans="2:37" ht="21" x14ac:dyDescent="0.35"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30" t="str">
        <f t="shared" si="0"/>
        <v/>
      </c>
      <c r="AE27" s="130" t="str">
        <f t="shared" si="1"/>
        <v/>
      </c>
      <c r="AF27" s="130"/>
      <c r="AG27" s="129"/>
      <c r="AH27" s="130"/>
      <c r="AI27" s="129"/>
      <c r="AJ27" s="128" t="str">
        <f t="shared" si="2"/>
        <v/>
      </c>
      <c r="AK27" s="128" t="str">
        <f t="shared" si="3"/>
        <v/>
      </c>
    </row>
    <row r="28" spans="2:37" ht="21" x14ac:dyDescent="0.35"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30" t="str">
        <f t="shared" si="0"/>
        <v/>
      </c>
      <c r="AE28" s="130" t="str">
        <f t="shared" si="1"/>
        <v/>
      </c>
      <c r="AF28" s="130"/>
      <c r="AG28" s="129"/>
      <c r="AH28" s="130"/>
      <c r="AI28" s="129"/>
      <c r="AJ28" s="128" t="str">
        <f t="shared" si="2"/>
        <v/>
      </c>
      <c r="AK28" s="128" t="str">
        <f t="shared" si="3"/>
        <v/>
      </c>
    </row>
    <row r="29" spans="2:37" ht="21" x14ac:dyDescent="0.35"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30" t="str">
        <f t="shared" si="0"/>
        <v/>
      </c>
      <c r="AE29" s="130" t="str">
        <f t="shared" si="1"/>
        <v/>
      </c>
      <c r="AF29" s="130"/>
      <c r="AG29" s="129"/>
      <c r="AH29" s="130"/>
      <c r="AI29" s="129"/>
      <c r="AJ29" s="128" t="str">
        <f t="shared" si="2"/>
        <v/>
      </c>
      <c r="AK29" s="128" t="str">
        <f t="shared" si="3"/>
        <v/>
      </c>
    </row>
    <row r="30" spans="2:37" ht="21" x14ac:dyDescent="0.35"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30" t="str">
        <f t="shared" si="0"/>
        <v/>
      </c>
      <c r="AE30" s="130" t="str">
        <f t="shared" si="1"/>
        <v/>
      </c>
      <c r="AF30" s="130"/>
      <c r="AG30" s="129"/>
      <c r="AH30" s="130"/>
      <c r="AI30" s="129"/>
      <c r="AJ30" s="128" t="str">
        <f t="shared" si="2"/>
        <v/>
      </c>
      <c r="AK30" s="128" t="str">
        <f t="shared" si="3"/>
        <v/>
      </c>
    </row>
    <row r="31" spans="2:37" ht="21" x14ac:dyDescent="0.35"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30" t="str">
        <f t="shared" si="0"/>
        <v/>
      </c>
      <c r="AE31" s="130" t="str">
        <f t="shared" si="1"/>
        <v/>
      </c>
      <c r="AF31" s="130"/>
      <c r="AG31" s="129"/>
      <c r="AH31" s="130"/>
      <c r="AI31" s="129"/>
      <c r="AJ31" s="128" t="str">
        <f t="shared" si="2"/>
        <v/>
      </c>
      <c r="AK31" s="128" t="str">
        <f t="shared" si="3"/>
        <v/>
      </c>
    </row>
    <row r="32" spans="2:37" ht="21" x14ac:dyDescent="0.35"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30" t="str">
        <f t="shared" si="0"/>
        <v/>
      </c>
      <c r="AE32" s="130" t="str">
        <f t="shared" si="1"/>
        <v/>
      </c>
      <c r="AF32" s="130"/>
      <c r="AG32" s="129"/>
      <c r="AH32" s="130"/>
      <c r="AI32" s="129"/>
      <c r="AJ32" s="128" t="str">
        <f t="shared" si="2"/>
        <v/>
      </c>
      <c r="AK32" s="128" t="str">
        <f t="shared" si="3"/>
        <v/>
      </c>
    </row>
    <row r="33" spans="2:37" ht="21" x14ac:dyDescent="0.3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 t="str">
        <f t="shared" si="0"/>
        <v/>
      </c>
      <c r="AE33" s="133" t="str">
        <f t="shared" si="1"/>
        <v/>
      </c>
      <c r="AF33" s="133"/>
      <c r="AG33" s="132"/>
      <c r="AH33" s="133"/>
      <c r="AI33" s="132"/>
      <c r="AJ33" s="131" t="str">
        <f t="shared" si="2"/>
        <v/>
      </c>
      <c r="AK33" s="131" t="str">
        <f t="shared" si="3"/>
        <v/>
      </c>
    </row>
    <row r="34" spans="2:37" ht="21" x14ac:dyDescent="0.3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 t="str">
        <f t="shared" si="0"/>
        <v/>
      </c>
      <c r="AE34" s="133" t="str">
        <f t="shared" si="1"/>
        <v/>
      </c>
      <c r="AF34" s="133"/>
      <c r="AG34" s="132"/>
      <c r="AH34" s="133"/>
      <c r="AI34" s="132"/>
      <c r="AJ34" s="131" t="str">
        <f t="shared" si="2"/>
        <v/>
      </c>
      <c r="AK34" s="131" t="str">
        <f t="shared" si="3"/>
        <v/>
      </c>
    </row>
    <row r="35" spans="2:37" ht="21" x14ac:dyDescent="0.35"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40" t="str">
        <f t="shared" si="0"/>
        <v/>
      </c>
      <c r="AE35" s="140" t="str">
        <f t="shared" si="1"/>
        <v/>
      </c>
      <c r="AF35" s="140"/>
      <c r="AG35" s="139"/>
      <c r="AH35" s="140"/>
      <c r="AI35" s="139"/>
      <c r="AJ35" s="138" t="str">
        <f t="shared" si="2"/>
        <v/>
      </c>
      <c r="AK35" s="138" t="str">
        <f t="shared" si="3"/>
        <v/>
      </c>
    </row>
    <row r="36" spans="2:37" ht="21" x14ac:dyDescent="0.35"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40" t="str">
        <f t="shared" si="0"/>
        <v/>
      </c>
      <c r="AE36" s="140" t="str">
        <f t="shared" si="1"/>
        <v/>
      </c>
      <c r="AF36" s="140"/>
      <c r="AG36" s="139"/>
      <c r="AH36" s="140"/>
      <c r="AI36" s="139"/>
      <c r="AJ36" s="138" t="str">
        <f t="shared" si="2"/>
        <v/>
      </c>
      <c r="AK36" s="138" t="str">
        <f t="shared" si="3"/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 t="shared" si="0"/>
        <v/>
      </c>
      <c r="AE37" s="101" t="str">
        <f t="shared" si="1"/>
        <v/>
      </c>
      <c r="AF37" s="101"/>
      <c r="AG37" s="100"/>
      <c r="AH37" s="101"/>
      <c r="AI37" s="100"/>
      <c r="AJ37" s="102" t="str">
        <f t="shared" si="2"/>
        <v/>
      </c>
      <c r="AK37" s="103" t="str">
        <f t="shared" si="3"/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 t="shared" si="0"/>
        <v/>
      </c>
      <c r="AE38" s="101" t="str">
        <f t="shared" si="1"/>
        <v/>
      </c>
      <c r="AF38" s="101"/>
      <c r="AG38" s="100"/>
      <c r="AH38" s="101"/>
      <c r="AI38" s="100"/>
      <c r="AJ38" s="102" t="str">
        <f t="shared" si="2"/>
        <v/>
      </c>
      <c r="AK38" s="103" t="str">
        <f t="shared" si="3"/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 t="shared" si="0"/>
        <v/>
      </c>
      <c r="AE39" s="101" t="str">
        <f t="shared" si="1"/>
        <v/>
      </c>
      <c r="AF39" s="101"/>
      <c r="AG39" s="100"/>
      <c r="AH39" s="101"/>
      <c r="AI39" s="100"/>
      <c r="AJ39" s="102" t="str">
        <f t="shared" si="2"/>
        <v/>
      </c>
      <c r="AK39" s="103" t="str">
        <f t="shared" si="3"/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 t="shared" si="0"/>
        <v/>
      </c>
      <c r="AE40" s="101" t="str">
        <f t="shared" si="1"/>
        <v/>
      </c>
      <c r="AF40" s="101"/>
      <c r="AG40" s="100"/>
      <c r="AH40" s="101"/>
      <c r="AI40" s="100"/>
      <c r="AJ40" s="102" t="str">
        <f t="shared" si="2"/>
        <v/>
      </c>
      <c r="AK40" s="103" t="str">
        <f t="shared" si="3"/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 t="shared" si="0"/>
        <v/>
      </c>
      <c r="AE41" s="101" t="str">
        <f t="shared" si="1"/>
        <v/>
      </c>
      <c r="AF41" s="101"/>
      <c r="AG41" s="100"/>
      <c r="AH41" s="101"/>
      <c r="AI41" s="100"/>
      <c r="AJ41" s="102" t="str">
        <f t="shared" si="2"/>
        <v/>
      </c>
      <c r="AK41" s="103" t="str">
        <f t="shared" si="3"/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 t="shared" si="0"/>
        <v/>
      </c>
      <c r="AE42" s="101" t="str">
        <f t="shared" si="1"/>
        <v/>
      </c>
      <c r="AF42" s="101"/>
      <c r="AG42" s="100"/>
      <c r="AH42" s="101"/>
      <c r="AI42" s="100"/>
      <c r="AJ42" s="102" t="str">
        <f t="shared" si="2"/>
        <v/>
      </c>
      <c r="AK42" s="103" t="str">
        <f t="shared" si="3"/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 t="shared" si="0"/>
        <v/>
      </c>
      <c r="AE43" s="101" t="str">
        <f t="shared" si="1"/>
        <v/>
      </c>
      <c r="AF43" s="101"/>
      <c r="AG43" s="100"/>
      <c r="AH43" s="101"/>
      <c r="AI43" s="100"/>
      <c r="AJ43" s="102" t="str">
        <f t="shared" si="2"/>
        <v/>
      </c>
      <c r="AK43" s="103" t="str">
        <f t="shared" si="3"/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 t="shared" si="0"/>
        <v/>
      </c>
      <c r="AE44" s="101" t="str">
        <f t="shared" si="1"/>
        <v/>
      </c>
      <c r="AF44" s="101"/>
      <c r="AG44" s="100"/>
      <c r="AH44" s="101"/>
      <c r="AI44" s="100"/>
      <c r="AJ44" s="102" t="str">
        <f t="shared" si="2"/>
        <v/>
      </c>
      <c r="AK44" s="103" t="str">
        <f t="shared" si="3"/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 t="shared" si="0"/>
        <v/>
      </c>
      <c r="AE45" s="101" t="str">
        <f t="shared" si="1"/>
        <v/>
      </c>
      <c r="AF45" s="101"/>
      <c r="AG45" s="100"/>
      <c r="AH45" s="101"/>
      <c r="AI45" s="100"/>
      <c r="AJ45" s="102" t="str">
        <f t="shared" si="2"/>
        <v/>
      </c>
      <c r="AK45" s="103" t="str">
        <f t="shared" si="3"/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 t="shared" si="0"/>
        <v/>
      </c>
      <c r="AE46" s="101" t="str">
        <f t="shared" si="1"/>
        <v/>
      </c>
      <c r="AF46" s="101"/>
      <c r="AG46" s="100"/>
      <c r="AH46" s="101"/>
      <c r="AI46" s="100"/>
      <c r="AJ46" s="102" t="str">
        <f t="shared" si="2"/>
        <v/>
      </c>
      <c r="AK46" s="103" t="str">
        <f t="shared" si="3"/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 t="shared" si="0"/>
        <v/>
      </c>
      <c r="AE47" s="101" t="str">
        <f t="shared" si="1"/>
        <v/>
      </c>
      <c r="AF47" s="101"/>
      <c r="AG47" s="100"/>
      <c r="AH47" s="101"/>
      <c r="AI47" s="100"/>
      <c r="AJ47" s="102" t="str">
        <f t="shared" si="2"/>
        <v/>
      </c>
      <c r="AK47" s="103" t="str">
        <f t="shared" si="3"/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 t="shared" si="0"/>
        <v/>
      </c>
      <c r="AE48" s="80" t="str">
        <f t="shared" si="1"/>
        <v/>
      </c>
      <c r="AF48" s="81"/>
      <c r="AG48" s="77"/>
      <c r="AH48" s="81"/>
      <c r="AI48" s="77"/>
      <c r="AJ48" s="82" t="str">
        <f t="shared" si="2"/>
        <v/>
      </c>
      <c r="AK48" s="83" t="str">
        <f t="shared" si="3"/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 t="shared" si="0"/>
        <v/>
      </c>
      <c r="AE49" s="80" t="str">
        <f t="shared" si="1"/>
        <v/>
      </c>
      <c r="AF49" s="81"/>
      <c r="AG49" s="77"/>
      <c r="AH49" s="81"/>
      <c r="AI49" s="77"/>
      <c r="AJ49" s="82" t="str">
        <f t="shared" si="2"/>
        <v/>
      </c>
      <c r="AK49" s="83" t="str">
        <f t="shared" si="3"/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 t="shared" si="0"/>
        <v/>
      </c>
      <c r="AE50" s="80" t="str">
        <f t="shared" si="1"/>
        <v/>
      </c>
      <c r="AF50" s="81"/>
      <c r="AG50" s="77"/>
      <c r="AH50" s="81"/>
      <c r="AI50" s="77"/>
      <c r="AJ50" s="82" t="str">
        <f t="shared" si="2"/>
        <v/>
      </c>
      <c r="AK50" s="83" t="str">
        <f t="shared" si="3"/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 t="shared" si="0"/>
        <v/>
      </c>
      <c r="AE51" s="80" t="str">
        <f t="shared" si="1"/>
        <v/>
      </c>
      <c r="AF51" s="81"/>
      <c r="AG51" s="77"/>
      <c r="AH51" s="81"/>
      <c r="AI51" s="77"/>
      <c r="AJ51" s="82" t="str">
        <f t="shared" si="2"/>
        <v/>
      </c>
      <c r="AK51" s="83" t="str">
        <f t="shared" si="3"/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 t="shared" si="0"/>
        <v/>
      </c>
      <c r="AE52" s="80" t="str">
        <f t="shared" si="1"/>
        <v/>
      </c>
      <c r="AF52" s="81"/>
      <c r="AG52" s="77"/>
      <c r="AH52" s="81"/>
      <c r="AI52" s="77"/>
      <c r="AJ52" s="82" t="str">
        <f t="shared" si="2"/>
        <v/>
      </c>
      <c r="AK52" s="83" t="str">
        <f t="shared" si="3"/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 t="shared" si="0"/>
        <v/>
      </c>
      <c r="AE53" s="80" t="str">
        <f t="shared" si="1"/>
        <v/>
      </c>
      <c r="AF53" s="81"/>
      <c r="AG53" s="77"/>
      <c r="AH53" s="81"/>
      <c r="AI53" s="77"/>
      <c r="AJ53" s="82" t="str">
        <f t="shared" si="2"/>
        <v/>
      </c>
      <c r="AK53" s="83" t="str">
        <f t="shared" si="3"/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 t="shared" si="0"/>
        <v/>
      </c>
      <c r="AE54" s="80" t="str">
        <f t="shared" si="1"/>
        <v/>
      </c>
      <c r="AF54" s="81"/>
      <c r="AG54" s="77"/>
      <c r="AH54" s="81"/>
      <c r="AI54" s="77"/>
      <c r="AJ54" s="82" t="str">
        <f t="shared" si="2"/>
        <v/>
      </c>
      <c r="AK54" s="83" t="str">
        <f t="shared" si="3"/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 t="shared" si="0"/>
        <v/>
      </c>
      <c r="AE55" s="80" t="str">
        <f t="shared" si="1"/>
        <v/>
      </c>
      <c r="AF55" s="81"/>
      <c r="AG55" s="77"/>
      <c r="AH55" s="81"/>
      <c r="AI55" s="77"/>
      <c r="AJ55" s="82" t="str">
        <f t="shared" si="2"/>
        <v/>
      </c>
      <c r="AK55" s="83" t="str">
        <f t="shared" si="3"/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 t="shared" si="0"/>
        <v/>
      </c>
      <c r="AE56" s="80" t="str">
        <f t="shared" si="1"/>
        <v/>
      </c>
      <c r="AF56" s="81"/>
      <c r="AG56" s="77"/>
      <c r="AH56" s="81"/>
      <c r="AI56" s="77"/>
      <c r="AJ56" s="82" t="str">
        <f t="shared" si="2"/>
        <v/>
      </c>
      <c r="AK56" s="83" t="str">
        <f t="shared" si="3"/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 t="shared" si="0"/>
        <v/>
      </c>
      <c r="AE57" s="80" t="str">
        <f t="shared" si="1"/>
        <v/>
      </c>
      <c r="AF57" s="81"/>
      <c r="AG57" s="77"/>
      <c r="AH57" s="81"/>
      <c r="AI57" s="77"/>
      <c r="AJ57" s="82" t="str">
        <f t="shared" si="2"/>
        <v/>
      </c>
      <c r="AK57" s="83" t="str">
        <f t="shared" si="3"/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 t="shared" si="0"/>
        <v/>
      </c>
      <c r="AE58" s="80" t="str">
        <f t="shared" si="1"/>
        <v/>
      </c>
      <c r="AF58" s="81"/>
      <c r="AG58" s="77"/>
      <c r="AH58" s="81"/>
      <c r="AI58" s="77"/>
      <c r="AJ58" s="82" t="str">
        <f t="shared" si="2"/>
        <v/>
      </c>
      <c r="AK58" s="83" t="str">
        <f t="shared" si="3"/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 t="shared" si="0"/>
        <v/>
      </c>
      <c r="AE59" s="80" t="str">
        <f t="shared" si="1"/>
        <v/>
      </c>
      <c r="AF59" s="81"/>
      <c r="AG59" s="77"/>
      <c r="AH59" s="81"/>
      <c r="AI59" s="77"/>
      <c r="AJ59" s="82" t="str">
        <f t="shared" si="2"/>
        <v/>
      </c>
      <c r="AK59" s="83" t="str">
        <f t="shared" si="3"/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 t="shared" si="0"/>
        <v/>
      </c>
      <c r="AE60" s="80" t="str">
        <f t="shared" si="1"/>
        <v/>
      </c>
      <c r="AF60" s="81"/>
      <c r="AG60" s="77"/>
      <c r="AH60" s="81"/>
      <c r="AI60" s="77"/>
      <c r="AJ60" s="82" t="str">
        <f t="shared" si="2"/>
        <v/>
      </c>
      <c r="AK60" s="83" t="str">
        <f t="shared" si="3"/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 t="shared" si="0"/>
        <v/>
      </c>
      <c r="AE61" s="80" t="str">
        <f t="shared" si="1"/>
        <v/>
      </c>
      <c r="AF61" s="81"/>
      <c r="AG61" s="77"/>
      <c r="AH61" s="81"/>
      <c r="AI61" s="77"/>
      <c r="AJ61" s="82" t="str">
        <f t="shared" si="2"/>
        <v/>
      </c>
      <c r="AK61" s="83" t="str">
        <f t="shared" si="3"/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 t="shared" si="0"/>
        <v/>
      </c>
      <c r="AE62" s="80" t="str">
        <f t="shared" si="1"/>
        <v/>
      </c>
      <c r="AF62" s="81"/>
      <c r="AG62" s="77"/>
      <c r="AH62" s="81"/>
      <c r="AI62" s="77"/>
      <c r="AJ62" s="82" t="str">
        <f t="shared" si="2"/>
        <v/>
      </c>
      <c r="AK62" s="83" t="str">
        <f t="shared" si="3"/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 t="shared" si="0"/>
        <v/>
      </c>
      <c r="AE63" s="80" t="str">
        <f t="shared" si="1"/>
        <v/>
      </c>
      <c r="AF63" s="81"/>
      <c r="AG63" s="77"/>
      <c r="AH63" s="81"/>
      <c r="AI63" s="77"/>
      <c r="AJ63" s="82" t="str">
        <f t="shared" si="2"/>
        <v/>
      </c>
      <c r="AK63" s="83" t="str">
        <f t="shared" si="3"/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 t="shared" si="0"/>
        <v/>
      </c>
      <c r="AE64" s="80" t="str">
        <f t="shared" si="1"/>
        <v/>
      </c>
      <c r="AF64" s="81"/>
      <c r="AG64" s="77"/>
      <c r="AH64" s="81"/>
      <c r="AI64" s="77"/>
      <c r="AJ64" s="82" t="str">
        <f t="shared" si="2"/>
        <v/>
      </c>
      <c r="AK64" s="83" t="str">
        <f t="shared" si="3"/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 t="shared" si="0"/>
        <v/>
      </c>
      <c r="AE65" s="80" t="str">
        <f t="shared" si="1"/>
        <v/>
      </c>
      <c r="AF65" s="81"/>
      <c r="AG65" s="77"/>
      <c r="AH65" s="81"/>
      <c r="AI65" s="77"/>
      <c r="AJ65" s="82" t="str">
        <f t="shared" si="2"/>
        <v/>
      </c>
      <c r="AK65" s="83" t="str">
        <f t="shared" si="3"/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 t="shared" si="0"/>
        <v/>
      </c>
      <c r="AE66" s="80" t="str">
        <f t="shared" si="1"/>
        <v/>
      </c>
      <c r="AF66" s="81"/>
      <c r="AG66" s="77"/>
      <c r="AH66" s="81"/>
      <c r="AI66" s="77"/>
      <c r="AJ66" s="82" t="str">
        <f t="shared" si="2"/>
        <v/>
      </c>
      <c r="AK66" s="83" t="str">
        <f t="shared" si="3"/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 t="shared" si="0"/>
        <v/>
      </c>
      <c r="AE67" s="80" t="str">
        <f t="shared" si="1"/>
        <v/>
      </c>
      <c r="AF67" s="81"/>
      <c r="AG67" s="77"/>
      <c r="AH67" s="81"/>
      <c r="AI67" s="77"/>
      <c r="AJ67" s="82" t="str">
        <f t="shared" si="2"/>
        <v/>
      </c>
      <c r="AK67" s="83" t="str">
        <f t="shared" si="3"/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 t="shared" ref="AD68:AD131" si="4">IF(MIN(F68,J68,N68,R68,V68,Z68)&lt;&gt;0,MIN(F68,J68,N68,R68,V68,Z68),"")</f>
        <v/>
      </c>
      <c r="AE68" s="80" t="str">
        <f t="shared" ref="AE68:AE131" si="5">IF(MIN(H68,L68,P68,T68,X68,AB68)&lt;&gt;0,MIN(H68,L68,P68,T68,X68,AB68),"")</f>
        <v/>
      </c>
      <c r="AF68" s="81"/>
      <c r="AG68" s="77"/>
      <c r="AH68" s="81"/>
      <c r="AI68" s="77"/>
      <c r="AJ68" s="82" t="str">
        <f t="shared" ref="AJ68:AJ131" si="6">IF(AD68="","",IF(ISBLANK(AF68),"En cours",AD68+AF68))</f>
        <v/>
      </c>
      <c r="AK68" s="83" t="str">
        <f t="shared" ref="AK68:AK131" si="7"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 t="shared" si="4"/>
        <v/>
      </c>
      <c r="AE69" s="80" t="str">
        <f t="shared" si="5"/>
        <v/>
      </c>
      <c r="AF69" s="81"/>
      <c r="AG69" s="77"/>
      <c r="AH69" s="81"/>
      <c r="AI69" s="77"/>
      <c r="AJ69" s="82" t="str">
        <f t="shared" si="6"/>
        <v/>
      </c>
      <c r="AK69" s="83" t="str">
        <f t="shared" si="7"/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 t="shared" si="4"/>
        <v/>
      </c>
      <c r="AE70" s="80" t="str">
        <f t="shared" si="5"/>
        <v/>
      </c>
      <c r="AF70" s="81"/>
      <c r="AG70" s="77"/>
      <c r="AH70" s="81"/>
      <c r="AI70" s="77"/>
      <c r="AJ70" s="82" t="str">
        <f t="shared" si="6"/>
        <v/>
      </c>
      <c r="AK70" s="83" t="str">
        <f t="shared" si="7"/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 t="shared" si="4"/>
        <v/>
      </c>
      <c r="AE71" s="80" t="str">
        <f t="shared" si="5"/>
        <v/>
      </c>
      <c r="AF71" s="81"/>
      <c r="AG71" s="77"/>
      <c r="AH71" s="81"/>
      <c r="AI71" s="77"/>
      <c r="AJ71" s="82" t="str">
        <f t="shared" si="6"/>
        <v/>
      </c>
      <c r="AK71" s="83" t="str">
        <f t="shared" si="7"/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 t="shared" si="4"/>
        <v/>
      </c>
      <c r="AE72" s="80" t="str">
        <f t="shared" si="5"/>
        <v/>
      </c>
      <c r="AF72" s="81"/>
      <c r="AG72" s="77"/>
      <c r="AH72" s="81"/>
      <c r="AI72" s="77"/>
      <c r="AJ72" s="82" t="str">
        <f t="shared" si="6"/>
        <v/>
      </c>
      <c r="AK72" s="83" t="str">
        <f t="shared" si="7"/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 t="shared" si="4"/>
        <v/>
      </c>
      <c r="AE73" s="80" t="str">
        <f t="shared" si="5"/>
        <v/>
      </c>
      <c r="AF73" s="81"/>
      <c r="AG73" s="77"/>
      <c r="AH73" s="81"/>
      <c r="AI73" s="77"/>
      <c r="AJ73" s="82" t="str">
        <f t="shared" si="6"/>
        <v/>
      </c>
      <c r="AK73" s="83" t="str">
        <f t="shared" si="7"/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 t="shared" si="4"/>
        <v/>
      </c>
      <c r="AE74" s="80" t="str">
        <f t="shared" si="5"/>
        <v/>
      </c>
      <c r="AF74" s="81"/>
      <c r="AG74" s="77"/>
      <c r="AH74" s="81"/>
      <c r="AI74" s="77"/>
      <c r="AJ74" s="82" t="str">
        <f t="shared" si="6"/>
        <v/>
      </c>
      <c r="AK74" s="83" t="str">
        <f t="shared" si="7"/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 t="shared" si="4"/>
        <v/>
      </c>
      <c r="AE75" s="80" t="str">
        <f t="shared" si="5"/>
        <v/>
      </c>
      <c r="AF75" s="81"/>
      <c r="AG75" s="77"/>
      <c r="AH75" s="81"/>
      <c r="AI75" s="77"/>
      <c r="AJ75" s="82" t="str">
        <f t="shared" si="6"/>
        <v/>
      </c>
      <c r="AK75" s="83" t="str">
        <f t="shared" si="7"/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 t="shared" si="4"/>
        <v/>
      </c>
      <c r="AE76" s="80" t="str">
        <f t="shared" si="5"/>
        <v/>
      </c>
      <c r="AF76" s="81"/>
      <c r="AG76" s="77"/>
      <c r="AH76" s="81"/>
      <c r="AI76" s="77"/>
      <c r="AJ76" s="82" t="str">
        <f t="shared" si="6"/>
        <v/>
      </c>
      <c r="AK76" s="83" t="str">
        <f t="shared" si="7"/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 t="shared" si="4"/>
        <v/>
      </c>
      <c r="AE77" s="80" t="str">
        <f t="shared" si="5"/>
        <v/>
      </c>
      <c r="AF77" s="81"/>
      <c r="AG77" s="77"/>
      <c r="AH77" s="81"/>
      <c r="AI77" s="77"/>
      <c r="AJ77" s="82" t="str">
        <f t="shared" si="6"/>
        <v/>
      </c>
      <c r="AK77" s="83" t="str">
        <f t="shared" si="7"/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 t="shared" si="4"/>
        <v/>
      </c>
      <c r="AE78" s="80" t="str">
        <f t="shared" si="5"/>
        <v/>
      </c>
      <c r="AF78" s="81"/>
      <c r="AG78" s="77"/>
      <c r="AH78" s="81"/>
      <c r="AI78" s="77"/>
      <c r="AJ78" s="82" t="str">
        <f t="shared" si="6"/>
        <v/>
      </c>
      <c r="AK78" s="83" t="str">
        <f t="shared" si="7"/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 t="shared" si="4"/>
        <v/>
      </c>
      <c r="AE79" s="80" t="str">
        <f t="shared" si="5"/>
        <v/>
      </c>
      <c r="AF79" s="81"/>
      <c r="AG79" s="77"/>
      <c r="AH79" s="81"/>
      <c r="AI79" s="77"/>
      <c r="AJ79" s="82" t="str">
        <f t="shared" si="6"/>
        <v/>
      </c>
      <c r="AK79" s="83" t="str">
        <f t="shared" si="7"/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 t="shared" si="4"/>
        <v/>
      </c>
      <c r="AE80" s="80" t="str">
        <f t="shared" si="5"/>
        <v/>
      </c>
      <c r="AF80" s="81"/>
      <c r="AG80" s="77"/>
      <c r="AH80" s="81"/>
      <c r="AI80" s="77"/>
      <c r="AJ80" s="82" t="str">
        <f t="shared" si="6"/>
        <v/>
      </c>
      <c r="AK80" s="83" t="str">
        <f t="shared" si="7"/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 t="shared" si="4"/>
        <v/>
      </c>
      <c r="AE81" s="80" t="str">
        <f t="shared" si="5"/>
        <v/>
      </c>
      <c r="AF81" s="81"/>
      <c r="AG81" s="77"/>
      <c r="AH81" s="81"/>
      <c r="AI81" s="77"/>
      <c r="AJ81" s="82" t="str">
        <f t="shared" si="6"/>
        <v/>
      </c>
      <c r="AK81" s="83" t="str">
        <f t="shared" si="7"/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 t="shared" si="4"/>
        <v/>
      </c>
      <c r="AE82" s="80" t="str">
        <f t="shared" si="5"/>
        <v/>
      </c>
      <c r="AF82" s="81"/>
      <c r="AG82" s="77"/>
      <c r="AH82" s="81"/>
      <c r="AI82" s="77"/>
      <c r="AJ82" s="82" t="str">
        <f t="shared" si="6"/>
        <v/>
      </c>
      <c r="AK82" s="83" t="str">
        <f t="shared" si="7"/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 t="shared" si="4"/>
        <v/>
      </c>
      <c r="AE83" s="80" t="str">
        <f t="shared" si="5"/>
        <v/>
      </c>
      <c r="AF83" s="81"/>
      <c r="AG83" s="77"/>
      <c r="AH83" s="81"/>
      <c r="AI83" s="77"/>
      <c r="AJ83" s="82" t="str">
        <f t="shared" si="6"/>
        <v/>
      </c>
      <c r="AK83" s="83" t="str">
        <f t="shared" si="7"/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 t="shared" si="4"/>
        <v/>
      </c>
      <c r="AE84" s="80" t="str">
        <f t="shared" si="5"/>
        <v/>
      </c>
      <c r="AF84" s="81"/>
      <c r="AG84" s="77"/>
      <c r="AH84" s="81"/>
      <c r="AI84" s="77"/>
      <c r="AJ84" s="82" t="str">
        <f t="shared" si="6"/>
        <v/>
      </c>
      <c r="AK84" s="83" t="str">
        <f t="shared" si="7"/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 t="shared" si="4"/>
        <v/>
      </c>
      <c r="AE85" s="80" t="str">
        <f t="shared" si="5"/>
        <v/>
      </c>
      <c r="AF85" s="81"/>
      <c r="AG85" s="77"/>
      <c r="AH85" s="81"/>
      <c r="AI85" s="77"/>
      <c r="AJ85" s="82" t="str">
        <f t="shared" si="6"/>
        <v/>
      </c>
      <c r="AK85" s="83" t="str">
        <f t="shared" si="7"/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 t="shared" si="4"/>
        <v/>
      </c>
      <c r="AE86" s="80" t="str">
        <f t="shared" si="5"/>
        <v/>
      </c>
      <c r="AF86" s="81"/>
      <c r="AG86" s="77"/>
      <c r="AH86" s="81"/>
      <c r="AI86" s="77"/>
      <c r="AJ86" s="82" t="str">
        <f t="shared" si="6"/>
        <v/>
      </c>
      <c r="AK86" s="83" t="str">
        <f t="shared" si="7"/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 t="shared" si="4"/>
        <v/>
      </c>
      <c r="AE87" s="80" t="str">
        <f t="shared" si="5"/>
        <v/>
      </c>
      <c r="AF87" s="81"/>
      <c r="AG87" s="77"/>
      <c r="AH87" s="81"/>
      <c r="AI87" s="77"/>
      <c r="AJ87" s="82" t="str">
        <f t="shared" si="6"/>
        <v/>
      </c>
      <c r="AK87" s="83" t="str">
        <f t="shared" si="7"/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 t="shared" si="4"/>
        <v/>
      </c>
      <c r="AE88" s="80" t="str">
        <f t="shared" si="5"/>
        <v/>
      </c>
      <c r="AF88" s="81"/>
      <c r="AG88" s="77"/>
      <c r="AH88" s="81"/>
      <c r="AI88" s="77"/>
      <c r="AJ88" s="82" t="str">
        <f t="shared" si="6"/>
        <v/>
      </c>
      <c r="AK88" s="83" t="str">
        <f t="shared" si="7"/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 t="shared" si="4"/>
        <v/>
      </c>
      <c r="AE89" s="80" t="str">
        <f t="shared" si="5"/>
        <v/>
      </c>
      <c r="AF89" s="81"/>
      <c r="AG89" s="77"/>
      <c r="AH89" s="81"/>
      <c r="AI89" s="77"/>
      <c r="AJ89" s="82" t="str">
        <f t="shared" si="6"/>
        <v/>
      </c>
      <c r="AK89" s="83" t="str">
        <f t="shared" si="7"/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 t="shared" si="4"/>
        <v/>
      </c>
      <c r="AE90" s="80" t="str">
        <f t="shared" si="5"/>
        <v/>
      </c>
      <c r="AF90" s="81"/>
      <c r="AG90" s="77"/>
      <c r="AH90" s="81"/>
      <c r="AI90" s="77"/>
      <c r="AJ90" s="82" t="str">
        <f t="shared" si="6"/>
        <v/>
      </c>
      <c r="AK90" s="83" t="str">
        <f t="shared" si="7"/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 t="shared" si="4"/>
        <v/>
      </c>
      <c r="AE91" s="80" t="str">
        <f t="shared" si="5"/>
        <v/>
      </c>
      <c r="AF91" s="81"/>
      <c r="AG91" s="77"/>
      <c r="AH91" s="81"/>
      <c r="AI91" s="77"/>
      <c r="AJ91" s="82" t="str">
        <f t="shared" si="6"/>
        <v/>
      </c>
      <c r="AK91" s="83" t="str">
        <f t="shared" si="7"/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 t="shared" si="4"/>
        <v/>
      </c>
      <c r="AE92" s="80" t="str">
        <f t="shared" si="5"/>
        <v/>
      </c>
      <c r="AF92" s="81"/>
      <c r="AG92" s="77"/>
      <c r="AH92" s="81"/>
      <c r="AI92" s="77"/>
      <c r="AJ92" s="82" t="str">
        <f t="shared" si="6"/>
        <v/>
      </c>
      <c r="AK92" s="83" t="str">
        <f t="shared" si="7"/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 t="shared" si="4"/>
        <v/>
      </c>
      <c r="AE93" s="80" t="str">
        <f t="shared" si="5"/>
        <v/>
      </c>
      <c r="AF93" s="81"/>
      <c r="AG93" s="77"/>
      <c r="AH93" s="81"/>
      <c r="AI93" s="77"/>
      <c r="AJ93" s="82" t="str">
        <f t="shared" si="6"/>
        <v/>
      </c>
      <c r="AK93" s="83" t="str">
        <f t="shared" si="7"/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 t="shared" si="4"/>
        <v/>
      </c>
      <c r="AE94" s="80" t="str">
        <f t="shared" si="5"/>
        <v/>
      </c>
      <c r="AF94" s="81"/>
      <c r="AG94" s="77"/>
      <c r="AH94" s="81"/>
      <c r="AI94" s="77"/>
      <c r="AJ94" s="82" t="str">
        <f t="shared" si="6"/>
        <v/>
      </c>
      <c r="AK94" s="83" t="str">
        <f t="shared" si="7"/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 t="shared" si="4"/>
        <v/>
      </c>
      <c r="AE95" s="80" t="str">
        <f t="shared" si="5"/>
        <v/>
      </c>
      <c r="AF95" s="81"/>
      <c r="AG95" s="77"/>
      <c r="AH95" s="81"/>
      <c r="AI95" s="77"/>
      <c r="AJ95" s="82" t="str">
        <f t="shared" si="6"/>
        <v/>
      </c>
      <c r="AK95" s="83" t="str">
        <f t="shared" si="7"/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 t="shared" si="4"/>
        <v/>
      </c>
      <c r="AE96" s="80" t="str">
        <f t="shared" si="5"/>
        <v/>
      </c>
      <c r="AF96" s="81"/>
      <c r="AG96" s="77"/>
      <c r="AH96" s="81"/>
      <c r="AI96" s="77"/>
      <c r="AJ96" s="82" t="str">
        <f t="shared" si="6"/>
        <v/>
      </c>
      <c r="AK96" s="83" t="str">
        <f t="shared" si="7"/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 t="shared" si="4"/>
        <v/>
      </c>
      <c r="AE97" s="80" t="str">
        <f t="shared" si="5"/>
        <v/>
      </c>
      <c r="AF97" s="81"/>
      <c r="AG97" s="77"/>
      <c r="AH97" s="81"/>
      <c r="AI97" s="77"/>
      <c r="AJ97" s="82" t="str">
        <f t="shared" si="6"/>
        <v/>
      </c>
      <c r="AK97" s="83" t="str">
        <f t="shared" si="7"/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 t="shared" si="4"/>
        <v/>
      </c>
      <c r="AE98" s="80" t="str">
        <f t="shared" si="5"/>
        <v/>
      </c>
      <c r="AF98" s="81"/>
      <c r="AG98" s="77"/>
      <c r="AH98" s="81"/>
      <c r="AI98" s="77"/>
      <c r="AJ98" s="82" t="str">
        <f t="shared" si="6"/>
        <v/>
      </c>
      <c r="AK98" s="83" t="str">
        <f t="shared" si="7"/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 t="shared" si="4"/>
        <v/>
      </c>
      <c r="AE99" s="80" t="str">
        <f t="shared" si="5"/>
        <v/>
      </c>
      <c r="AF99" s="81"/>
      <c r="AG99" s="77"/>
      <c r="AH99" s="81"/>
      <c r="AI99" s="77"/>
      <c r="AJ99" s="82" t="str">
        <f t="shared" si="6"/>
        <v/>
      </c>
      <c r="AK99" s="83" t="str">
        <f t="shared" si="7"/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 t="shared" si="4"/>
        <v/>
      </c>
      <c r="AE100" s="80" t="str">
        <f t="shared" si="5"/>
        <v/>
      </c>
      <c r="AF100" s="81"/>
      <c r="AG100" s="77"/>
      <c r="AH100" s="81"/>
      <c r="AI100" s="77"/>
      <c r="AJ100" s="82" t="str">
        <f t="shared" si="6"/>
        <v/>
      </c>
      <c r="AK100" s="83" t="str">
        <f t="shared" si="7"/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 t="shared" si="4"/>
        <v/>
      </c>
      <c r="AE101" s="80" t="str">
        <f t="shared" si="5"/>
        <v/>
      </c>
      <c r="AF101" s="81"/>
      <c r="AG101" s="77"/>
      <c r="AH101" s="81"/>
      <c r="AI101" s="77"/>
      <c r="AJ101" s="82" t="str">
        <f t="shared" si="6"/>
        <v/>
      </c>
      <c r="AK101" s="83" t="str">
        <f t="shared" si="7"/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 t="shared" si="4"/>
        <v/>
      </c>
      <c r="AE102" s="80" t="str">
        <f t="shared" si="5"/>
        <v/>
      </c>
      <c r="AF102" s="81"/>
      <c r="AG102" s="77"/>
      <c r="AH102" s="81"/>
      <c r="AI102" s="77"/>
      <c r="AJ102" s="82" t="str">
        <f t="shared" si="6"/>
        <v/>
      </c>
      <c r="AK102" s="83" t="str">
        <f t="shared" si="7"/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 t="shared" si="4"/>
        <v/>
      </c>
      <c r="AE103" s="80" t="str">
        <f t="shared" si="5"/>
        <v/>
      </c>
      <c r="AF103" s="81"/>
      <c r="AG103" s="77"/>
      <c r="AH103" s="81"/>
      <c r="AI103" s="77"/>
      <c r="AJ103" s="82" t="str">
        <f t="shared" si="6"/>
        <v/>
      </c>
      <c r="AK103" s="83" t="str">
        <f t="shared" si="7"/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 t="shared" si="4"/>
        <v/>
      </c>
      <c r="AE104" s="80" t="str">
        <f t="shared" si="5"/>
        <v/>
      </c>
      <c r="AF104" s="81"/>
      <c r="AG104" s="77"/>
      <c r="AH104" s="81"/>
      <c r="AI104" s="77"/>
      <c r="AJ104" s="82" t="str">
        <f t="shared" si="6"/>
        <v/>
      </c>
      <c r="AK104" s="83" t="str">
        <f t="shared" si="7"/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 t="shared" si="4"/>
        <v/>
      </c>
      <c r="AE105" s="80" t="str">
        <f t="shared" si="5"/>
        <v/>
      </c>
      <c r="AF105" s="81"/>
      <c r="AG105" s="77"/>
      <c r="AH105" s="81"/>
      <c r="AI105" s="77"/>
      <c r="AJ105" s="82" t="str">
        <f t="shared" si="6"/>
        <v/>
      </c>
      <c r="AK105" s="83" t="str">
        <f t="shared" si="7"/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 t="shared" si="4"/>
        <v/>
      </c>
      <c r="AE106" s="80" t="str">
        <f t="shared" si="5"/>
        <v/>
      </c>
      <c r="AF106" s="81"/>
      <c r="AG106" s="77"/>
      <c r="AH106" s="81"/>
      <c r="AI106" s="77"/>
      <c r="AJ106" s="82" t="str">
        <f t="shared" si="6"/>
        <v/>
      </c>
      <c r="AK106" s="83" t="str">
        <f t="shared" si="7"/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 t="shared" si="4"/>
        <v/>
      </c>
      <c r="AE107" s="80" t="str">
        <f t="shared" si="5"/>
        <v/>
      </c>
      <c r="AF107" s="81"/>
      <c r="AG107" s="77"/>
      <c r="AH107" s="81"/>
      <c r="AI107" s="77"/>
      <c r="AJ107" s="82" t="str">
        <f t="shared" si="6"/>
        <v/>
      </c>
      <c r="AK107" s="83" t="str">
        <f t="shared" si="7"/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 t="shared" si="4"/>
        <v/>
      </c>
      <c r="AE108" s="80" t="str">
        <f t="shared" si="5"/>
        <v/>
      </c>
      <c r="AF108" s="81"/>
      <c r="AG108" s="77"/>
      <c r="AH108" s="81"/>
      <c r="AI108" s="77"/>
      <c r="AJ108" s="82" t="str">
        <f t="shared" si="6"/>
        <v/>
      </c>
      <c r="AK108" s="83" t="str">
        <f t="shared" si="7"/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 t="shared" si="4"/>
        <v/>
      </c>
      <c r="AE109" s="80" t="str">
        <f t="shared" si="5"/>
        <v/>
      </c>
      <c r="AF109" s="81"/>
      <c r="AG109" s="77"/>
      <c r="AH109" s="81"/>
      <c r="AI109" s="77"/>
      <c r="AJ109" s="82" t="str">
        <f t="shared" si="6"/>
        <v/>
      </c>
      <c r="AK109" s="83" t="str">
        <f t="shared" si="7"/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 t="shared" si="4"/>
        <v/>
      </c>
      <c r="AE110" s="80" t="str">
        <f t="shared" si="5"/>
        <v/>
      </c>
      <c r="AF110" s="81"/>
      <c r="AG110" s="77"/>
      <c r="AH110" s="81"/>
      <c r="AI110" s="77"/>
      <c r="AJ110" s="82" t="str">
        <f t="shared" si="6"/>
        <v/>
      </c>
      <c r="AK110" s="83" t="str">
        <f t="shared" si="7"/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 t="shared" si="4"/>
        <v/>
      </c>
      <c r="AE111" s="80" t="str">
        <f t="shared" si="5"/>
        <v/>
      </c>
      <c r="AF111" s="81"/>
      <c r="AG111" s="77"/>
      <c r="AH111" s="81"/>
      <c r="AI111" s="77"/>
      <c r="AJ111" s="82" t="str">
        <f t="shared" si="6"/>
        <v/>
      </c>
      <c r="AK111" s="83" t="str">
        <f t="shared" si="7"/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 t="shared" si="4"/>
        <v/>
      </c>
      <c r="AE112" s="80" t="str">
        <f t="shared" si="5"/>
        <v/>
      </c>
      <c r="AF112" s="81"/>
      <c r="AG112" s="77"/>
      <c r="AH112" s="81"/>
      <c r="AI112" s="77"/>
      <c r="AJ112" s="82" t="str">
        <f t="shared" si="6"/>
        <v/>
      </c>
      <c r="AK112" s="83" t="str">
        <f t="shared" si="7"/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 t="shared" si="4"/>
        <v/>
      </c>
      <c r="AE113" s="80" t="str">
        <f t="shared" si="5"/>
        <v/>
      </c>
      <c r="AF113" s="81"/>
      <c r="AG113" s="77"/>
      <c r="AH113" s="81"/>
      <c r="AI113" s="77"/>
      <c r="AJ113" s="82" t="str">
        <f t="shared" si="6"/>
        <v/>
      </c>
      <c r="AK113" s="83" t="str">
        <f t="shared" si="7"/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 t="shared" si="4"/>
        <v/>
      </c>
      <c r="AE114" s="80" t="str">
        <f t="shared" si="5"/>
        <v/>
      </c>
      <c r="AF114" s="81"/>
      <c r="AG114" s="77"/>
      <c r="AH114" s="81"/>
      <c r="AI114" s="77"/>
      <c r="AJ114" s="82" t="str">
        <f t="shared" si="6"/>
        <v/>
      </c>
      <c r="AK114" s="83" t="str">
        <f t="shared" si="7"/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 t="shared" si="4"/>
        <v/>
      </c>
      <c r="AE115" s="80" t="str">
        <f t="shared" si="5"/>
        <v/>
      </c>
      <c r="AF115" s="81"/>
      <c r="AG115" s="77"/>
      <c r="AH115" s="81"/>
      <c r="AI115" s="77"/>
      <c r="AJ115" s="82" t="str">
        <f t="shared" si="6"/>
        <v/>
      </c>
      <c r="AK115" s="83" t="str">
        <f t="shared" si="7"/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 t="shared" si="4"/>
        <v/>
      </c>
      <c r="AE116" s="80" t="str">
        <f t="shared" si="5"/>
        <v/>
      </c>
      <c r="AF116" s="81"/>
      <c r="AG116" s="77"/>
      <c r="AH116" s="81"/>
      <c r="AI116" s="77"/>
      <c r="AJ116" s="82" t="str">
        <f t="shared" si="6"/>
        <v/>
      </c>
      <c r="AK116" s="83" t="str">
        <f t="shared" si="7"/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 t="shared" si="4"/>
        <v/>
      </c>
      <c r="AE117" s="80" t="str">
        <f t="shared" si="5"/>
        <v/>
      </c>
      <c r="AF117" s="81"/>
      <c r="AG117" s="77"/>
      <c r="AH117" s="81"/>
      <c r="AI117" s="77"/>
      <c r="AJ117" s="82" t="str">
        <f t="shared" si="6"/>
        <v/>
      </c>
      <c r="AK117" s="83" t="str">
        <f t="shared" si="7"/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 t="shared" si="4"/>
        <v/>
      </c>
      <c r="AE118" s="80" t="str">
        <f t="shared" si="5"/>
        <v/>
      </c>
      <c r="AF118" s="81"/>
      <c r="AG118" s="77"/>
      <c r="AH118" s="81"/>
      <c r="AI118" s="77"/>
      <c r="AJ118" s="82" t="str">
        <f t="shared" si="6"/>
        <v/>
      </c>
      <c r="AK118" s="83" t="str">
        <f t="shared" si="7"/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 t="shared" si="4"/>
        <v/>
      </c>
      <c r="AE119" s="80" t="str">
        <f t="shared" si="5"/>
        <v/>
      </c>
      <c r="AF119" s="81"/>
      <c r="AG119" s="77"/>
      <c r="AH119" s="81"/>
      <c r="AI119" s="77"/>
      <c r="AJ119" s="82" t="str">
        <f t="shared" si="6"/>
        <v/>
      </c>
      <c r="AK119" s="83" t="str">
        <f t="shared" si="7"/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 t="shared" si="4"/>
        <v/>
      </c>
      <c r="AE120" s="80" t="str">
        <f t="shared" si="5"/>
        <v/>
      </c>
      <c r="AF120" s="81"/>
      <c r="AG120" s="77"/>
      <c r="AH120" s="81"/>
      <c r="AI120" s="77"/>
      <c r="AJ120" s="82" t="str">
        <f t="shared" si="6"/>
        <v/>
      </c>
      <c r="AK120" s="83" t="str">
        <f t="shared" si="7"/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 t="shared" si="4"/>
        <v/>
      </c>
      <c r="AE121" s="80" t="str">
        <f t="shared" si="5"/>
        <v/>
      </c>
      <c r="AF121" s="81"/>
      <c r="AG121" s="77"/>
      <c r="AH121" s="81"/>
      <c r="AI121" s="77"/>
      <c r="AJ121" s="82" t="str">
        <f t="shared" si="6"/>
        <v/>
      </c>
      <c r="AK121" s="83" t="str">
        <f t="shared" si="7"/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 t="shared" si="4"/>
        <v/>
      </c>
      <c r="AE122" s="80" t="str">
        <f t="shared" si="5"/>
        <v/>
      </c>
      <c r="AF122" s="81"/>
      <c r="AG122" s="77"/>
      <c r="AH122" s="81"/>
      <c r="AI122" s="77"/>
      <c r="AJ122" s="82" t="str">
        <f t="shared" si="6"/>
        <v/>
      </c>
      <c r="AK122" s="83" t="str">
        <f t="shared" si="7"/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 t="shared" si="4"/>
        <v/>
      </c>
      <c r="AE123" s="80" t="str">
        <f t="shared" si="5"/>
        <v/>
      </c>
      <c r="AF123" s="81"/>
      <c r="AG123" s="77"/>
      <c r="AH123" s="81"/>
      <c r="AI123" s="77"/>
      <c r="AJ123" s="82" t="str">
        <f t="shared" si="6"/>
        <v/>
      </c>
      <c r="AK123" s="83" t="str">
        <f t="shared" si="7"/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 t="shared" si="4"/>
        <v/>
      </c>
      <c r="AE124" s="80" t="str">
        <f t="shared" si="5"/>
        <v/>
      </c>
      <c r="AF124" s="81"/>
      <c r="AG124" s="77"/>
      <c r="AH124" s="81"/>
      <c r="AI124" s="77"/>
      <c r="AJ124" s="82" t="str">
        <f t="shared" si="6"/>
        <v/>
      </c>
      <c r="AK124" s="83" t="str">
        <f t="shared" si="7"/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 t="shared" si="4"/>
        <v/>
      </c>
      <c r="AE125" s="80" t="str">
        <f t="shared" si="5"/>
        <v/>
      </c>
      <c r="AF125" s="81"/>
      <c r="AG125" s="77"/>
      <c r="AH125" s="81"/>
      <c r="AI125" s="77"/>
      <c r="AJ125" s="82" t="str">
        <f t="shared" si="6"/>
        <v/>
      </c>
      <c r="AK125" s="83" t="str">
        <f t="shared" si="7"/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 t="shared" si="4"/>
        <v/>
      </c>
      <c r="AE126" s="80" t="str">
        <f t="shared" si="5"/>
        <v/>
      </c>
      <c r="AF126" s="81"/>
      <c r="AG126" s="77"/>
      <c r="AH126" s="81"/>
      <c r="AI126" s="77"/>
      <c r="AJ126" s="82" t="str">
        <f t="shared" si="6"/>
        <v/>
      </c>
      <c r="AK126" s="83" t="str">
        <f t="shared" si="7"/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 t="shared" si="4"/>
        <v/>
      </c>
      <c r="AE127" s="80" t="str">
        <f t="shared" si="5"/>
        <v/>
      </c>
      <c r="AF127" s="81"/>
      <c r="AG127" s="77"/>
      <c r="AH127" s="81"/>
      <c r="AI127" s="77"/>
      <c r="AJ127" s="82" t="str">
        <f t="shared" si="6"/>
        <v/>
      </c>
      <c r="AK127" s="83" t="str">
        <f t="shared" si="7"/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 t="shared" si="4"/>
        <v/>
      </c>
      <c r="AE128" s="80" t="str">
        <f t="shared" si="5"/>
        <v/>
      </c>
      <c r="AF128" s="81"/>
      <c r="AG128" s="77"/>
      <c r="AH128" s="81"/>
      <c r="AI128" s="77"/>
      <c r="AJ128" s="82" t="str">
        <f t="shared" si="6"/>
        <v/>
      </c>
      <c r="AK128" s="83" t="str">
        <f t="shared" si="7"/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 t="shared" si="4"/>
        <v/>
      </c>
      <c r="AE129" s="80" t="str">
        <f t="shared" si="5"/>
        <v/>
      </c>
      <c r="AF129" s="81"/>
      <c r="AG129" s="77"/>
      <c r="AH129" s="81"/>
      <c r="AI129" s="77"/>
      <c r="AJ129" s="82" t="str">
        <f t="shared" si="6"/>
        <v/>
      </c>
      <c r="AK129" s="83" t="str">
        <f t="shared" si="7"/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 t="shared" si="4"/>
        <v/>
      </c>
      <c r="AE130" s="80" t="str">
        <f t="shared" si="5"/>
        <v/>
      </c>
      <c r="AF130" s="81"/>
      <c r="AG130" s="77"/>
      <c r="AH130" s="81"/>
      <c r="AI130" s="77"/>
      <c r="AJ130" s="82" t="str">
        <f t="shared" si="6"/>
        <v/>
      </c>
      <c r="AK130" s="83" t="str">
        <f t="shared" si="7"/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 t="shared" si="4"/>
        <v/>
      </c>
      <c r="AE131" s="80" t="str">
        <f t="shared" si="5"/>
        <v/>
      </c>
      <c r="AF131" s="81"/>
      <c r="AG131" s="77"/>
      <c r="AH131" s="81"/>
      <c r="AI131" s="77"/>
      <c r="AJ131" s="82" t="str">
        <f t="shared" si="6"/>
        <v/>
      </c>
      <c r="AK131" s="83" t="str">
        <f t="shared" si="7"/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 t="shared" ref="AD132:AD195" si="8">IF(MIN(F132,J132,N132,R132,V132,Z132)&lt;&gt;0,MIN(F132,J132,N132,R132,V132,Z132),"")</f>
        <v/>
      </c>
      <c r="AE132" s="80" t="str">
        <f t="shared" ref="AE132:AE195" si="9">IF(MIN(H132,L132,P132,T132,X132,AB132)&lt;&gt;0,MIN(H132,L132,P132,T132,X132,AB132),"")</f>
        <v/>
      </c>
      <c r="AF132" s="81"/>
      <c r="AG132" s="77"/>
      <c r="AH132" s="81"/>
      <c r="AI132" s="77"/>
      <c r="AJ132" s="82" t="str">
        <f t="shared" ref="AJ132:AJ195" si="10">IF(AD132="","",IF(ISBLANK(AF132),"En cours",AD132+AF132))</f>
        <v/>
      </c>
      <c r="AK132" s="83" t="str">
        <f t="shared" ref="AK132:AK195" si="11"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 t="shared" si="8"/>
        <v/>
      </c>
      <c r="AE133" s="80" t="str">
        <f t="shared" si="9"/>
        <v/>
      </c>
      <c r="AF133" s="81"/>
      <c r="AG133" s="77"/>
      <c r="AH133" s="81"/>
      <c r="AI133" s="77"/>
      <c r="AJ133" s="82" t="str">
        <f t="shared" si="10"/>
        <v/>
      </c>
      <c r="AK133" s="83" t="str">
        <f t="shared" si="11"/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 t="shared" si="8"/>
        <v/>
      </c>
      <c r="AE134" s="80" t="str">
        <f t="shared" si="9"/>
        <v/>
      </c>
      <c r="AF134" s="81"/>
      <c r="AG134" s="77"/>
      <c r="AH134" s="81"/>
      <c r="AI134" s="77"/>
      <c r="AJ134" s="82" t="str">
        <f t="shared" si="10"/>
        <v/>
      </c>
      <c r="AK134" s="83" t="str">
        <f t="shared" si="11"/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 t="shared" si="8"/>
        <v/>
      </c>
      <c r="AE135" s="80" t="str">
        <f t="shared" si="9"/>
        <v/>
      </c>
      <c r="AF135" s="81"/>
      <c r="AG135" s="77"/>
      <c r="AH135" s="81"/>
      <c r="AI135" s="77"/>
      <c r="AJ135" s="82" t="str">
        <f t="shared" si="10"/>
        <v/>
      </c>
      <c r="AK135" s="83" t="str">
        <f t="shared" si="11"/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 t="shared" si="8"/>
        <v/>
      </c>
      <c r="AE136" s="80" t="str">
        <f t="shared" si="9"/>
        <v/>
      </c>
      <c r="AF136" s="81"/>
      <c r="AG136" s="77"/>
      <c r="AH136" s="81"/>
      <c r="AI136" s="77"/>
      <c r="AJ136" s="82" t="str">
        <f t="shared" si="10"/>
        <v/>
      </c>
      <c r="AK136" s="83" t="str">
        <f t="shared" si="11"/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 t="shared" si="8"/>
        <v/>
      </c>
      <c r="AE137" s="80" t="str">
        <f t="shared" si="9"/>
        <v/>
      </c>
      <c r="AF137" s="81"/>
      <c r="AG137" s="77"/>
      <c r="AH137" s="81"/>
      <c r="AI137" s="77"/>
      <c r="AJ137" s="82" t="str">
        <f t="shared" si="10"/>
        <v/>
      </c>
      <c r="AK137" s="83" t="str">
        <f t="shared" si="11"/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 t="shared" si="8"/>
        <v/>
      </c>
      <c r="AE138" s="80" t="str">
        <f t="shared" si="9"/>
        <v/>
      </c>
      <c r="AF138" s="81"/>
      <c r="AG138" s="77"/>
      <c r="AH138" s="81"/>
      <c r="AI138" s="77"/>
      <c r="AJ138" s="82" t="str">
        <f t="shared" si="10"/>
        <v/>
      </c>
      <c r="AK138" s="83" t="str">
        <f t="shared" si="11"/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 t="shared" si="8"/>
        <v/>
      </c>
      <c r="AE139" s="80" t="str">
        <f t="shared" si="9"/>
        <v/>
      </c>
      <c r="AF139" s="81"/>
      <c r="AG139" s="77"/>
      <c r="AH139" s="81"/>
      <c r="AI139" s="77"/>
      <c r="AJ139" s="82" t="str">
        <f t="shared" si="10"/>
        <v/>
      </c>
      <c r="AK139" s="83" t="str">
        <f t="shared" si="11"/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 t="shared" si="8"/>
        <v/>
      </c>
      <c r="AE140" s="80" t="str">
        <f t="shared" si="9"/>
        <v/>
      </c>
      <c r="AF140" s="81"/>
      <c r="AG140" s="77"/>
      <c r="AH140" s="81"/>
      <c r="AI140" s="77"/>
      <c r="AJ140" s="82" t="str">
        <f t="shared" si="10"/>
        <v/>
      </c>
      <c r="AK140" s="83" t="str">
        <f t="shared" si="11"/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 t="shared" si="8"/>
        <v/>
      </c>
      <c r="AE141" s="80" t="str">
        <f t="shared" si="9"/>
        <v/>
      </c>
      <c r="AF141" s="81"/>
      <c r="AG141" s="77"/>
      <c r="AH141" s="81"/>
      <c r="AI141" s="77"/>
      <c r="AJ141" s="82" t="str">
        <f t="shared" si="10"/>
        <v/>
      </c>
      <c r="AK141" s="83" t="str">
        <f t="shared" si="11"/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 t="shared" si="8"/>
        <v/>
      </c>
      <c r="AE142" s="80" t="str">
        <f t="shared" si="9"/>
        <v/>
      </c>
      <c r="AF142" s="81"/>
      <c r="AG142" s="77"/>
      <c r="AH142" s="81"/>
      <c r="AI142" s="77"/>
      <c r="AJ142" s="82" t="str">
        <f t="shared" si="10"/>
        <v/>
      </c>
      <c r="AK142" s="83" t="str">
        <f t="shared" si="11"/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 t="shared" si="8"/>
        <v/>
      </c>
      <c r="AE143" s="80" t="str">
        <f t="shared" si="9"/>
        <v/>
      </c>
      <c r="AF143" s="81"/>
      <c r="AG143" s="77"/>
      <c r="AH143" s="81"/>
      <c r="AI143" s="77"/>
      <c r="AJ143" s="82" t="str">
        <f t="shared" si="10"/>
        <v/>
      </c>
      <c r="AK143" s="83" t="str">
        <f t="shared" si="11"/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 t="shared" si="8"/>
        <v/>
      </c>
      <c r="AE144" s="80" t="str">
        <f t="shared" si="9"/>
        <v/>
      </c>
      <c r="AF144" s="81"/>
      <c r="AG144" s="77"/>
      <c r="AH144" s="81"/>
      <c r="AI144" s="77"/>
      <c r="AJ144" s="82" t="str">
        <f t="shared" si="10"/>
        <v/>
      </c>
      <c r="AK144" s="83" t="str">
        <f t="shared" si="11"/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 t="shared" si="8"/>
        <v/>
      </c>
      <c r="AE145" s="80" t="str">
        <f t="shared" si="9"/>
        <v/>
      </c>
      <c r="AF145" s="81"/>
      <c r="AG145" s="77"/>
      <c r="AH145" s="81"/>
      <c r="AI145" s="77"/>
      <c r="AJ145" s="82" t="str">
        <f t="shared" si="10"/>
        <v/>
      </c>
      <c r="AK145" s="83" t="str">
        <f t="shared" si="11"/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 t="shared" si="8"/>
        <v/>
      </c>
      <c r="AE146" s="80" t="str">
        <f t="shared" si="9"/>
        <v/>
      </c>
      <c r="AF146" s="81"/>
      <c r="AG146" s="77"/>
      <c r="AH146" s="81"/>
      <c r="AI146" s="77"/>
      <c r="AJ146" s="82" t="str">
        <f t="shared" si="10"/>
        <v/>
      </c>
      <c r="AK146" s="83" t="str">
        <f t="shared" si="11"/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 t="shared" si="8"/>
        <v/>
      </c>
      <c r="AE147" s="80" t="str">
        <f t="shared" si="9"/>
        <v/>
      </c>
      <c r="AF147" s="81"/>
      <c r="AG147" s="77"/>
      <c r="AH147" s="81"/>
      <c r="AI147" s="77"/>
      <c r="AJ147" s="82" t="str">
        <f t="shared" si="10"/>
        <v/>
      </c>
      <c r="AK147" s="83" t="str">
        <f t="shared" si="11"/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 t="shared" si="8"/>
        <v/>
      </c>
      <c r="AE148" s="80" t="str">
        <f t="shared" si="9"/>
        <v/>
      </c>
      <c r="AF148" s="81"/>
      <c r="AG148" s="77"/>
      <c r="AH148" s="81"/>
      <c r="AI148" s="77"/>
      <c r="AJ148" s="82" t="str">
        <f t="shared" si="10"/>
        <v/>
      </c>
      <c r="AK148" s="83" t="str">
        <f t="shared" si="11"/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 t="shared" si="8"/>
        <v/>
      </c>
      <c r="AE149" s="80" t="str">
        <f t="shared" si="9"/>
        <v/>
      </c>
      <c r="AF149" s="81"/>
      <c r="AG149" s="77"/>
      <c r="AH149" s="81"/>
      <c r="AI149" s="77"/>
      <c r="AJ149" s="82" t="str">
        <f t="shared" si="10"/>
        <v/>
      </c>
      <c r="AK149" s="83" t="str">
        <f t="shared" si="11"/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 t="shared" si="8"/>
        <v/>
      </c>
      <c r="AE150" s="80" t="str">
        <f t="shared" si="9"/>
        <v/>
      </c>
      <c r="AF150" s="81"/>
      <c r="AG150" s="77"/>
      <c r="AH150" s="81"/>
      <c r="AI150" s="77"/>
      <c r="AJ150" s="82" t="str">
        <f t="shared" si="10"/>
        <v/>
      </c>
      <c r="AK150" s="83" t="str">
        <f t="shared" si="11"/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 t="shared" si="8"/>
        <v/>
      </c>
      <c r="AE151" s="80" t="str">
        <f t="shared" si="9"/>
        <v/>
      </c>
      <c r="AF151" s="81"/>
      <c r="AG151" s="77"/>
      <c r="AH151" s="81"/>
      <c r="AI151" s="77"/>
      <c r="AJ151" s="82" t="str">
        <f t="shared" si="10"/>
        <v/>
      </c>
      <c r="AK151" s="83" t="str">
        <f t="shared" si="11"/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 t="shared" si="8"/>
        <v/>
      </c>
      <c r="AE152" s="80" t="str">
        <f t="shared" si="9"/>
        <v/>
      </c>
      <c r="AF152" s="81"/>
      <c r="AG152" s="77"/>
      <c r="AH152" s="81"/>
      <c r="AI152" s="77"/>
      <c r="AJ152" s="82" t="str">
        <f t="shared" si="10"/>
        <v/>
      </c>
      <c r="AK152" s="83" t="str">
        <f t="shared" si="11"/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 t="shared" si="8"/>
        <v/>
      </c>
      <c r="AE153" s="80" t="str">
        <f t="shared" si="9"/>
        <v/>
      </c>
      <c r="AF153" s="81"/>
      <c r="AG153" s="77"/>
      <c r="AH153" s="81"/>
      <c r="AI153" s="77"/>
      <c r="AJ153" s="82" t="str">
        <f t="shared" si="10"/>
        <v/>
      </c>
      <c r="AK153" s="83" t="str">
        <f t="shared" si="11"/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 t="shared" si="8"/>
        <v/>
      </c>
      <c r="AE154" s="80" t="str">
        <f t="shared" si="9"/>
        <v/>
      </c>
      <c r="AF154" s="81"/>
      <c r="AG154" s="77"/>
      <c r="AH154" s="81"/>
      <c r="AI154" s="77"/>
      <c r="AJ154" s="82" t="str">
        <f t="shared" si="10"/>
        <v/>
      </c>
      <c r="AK154" s="83" t="str">
        <f t="shared" si="11"/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 t="shared" si="8"/>
        <v/>
      </c>
      <c r="AE155" s="80" t="str">
        <f t="shared" si="9"/>
        <v/>
      </c>
      <c r="AF155" s="81"/>
      <c r="AG155" s="77"/>
      <c r="AH155" s="81"/>
      <c r="AI155" s="77"/>
      <c r="AJ155" s="82" t="str">
        <f t="shared" si="10"/>
        <v/>
      </c>
      <c r="AK155" s="83" t="str">
        <f t="shared" si="11"/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 t="shared" si="8"/>
        <v/>
      </c>
      <c r="AE156" s="80" t="str">
        <f t="shared" si="9"/>
        <v/>
      </c>
      <c r="AF156" s="81"/>
      <c r="AG156" s="77"/>
      <c r="AH156" s="81"/>
      <c r="AI156" s="77"/>
      <c r="AJ156" s="82" t="str">
        <f t="shared" si="10"/>
        <v/>
      </c>
      <c r="AK156" s="83" t="str">
        <f t="shared" si="11"/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 t="shared" si="8"/>
        <v/>
      </c>
      <c r="AE157" s="80" t="str">
        <f t="shared" si="9"/>
        <v/>
      </c>
      <c r="AF157" s="81"/>
      <c r="AG157" s="77"/>
      <c r="AH157" s="81"/>
      <c r="AI157" s="77"/>
      <c r="AJ157" s="82" t="str">
        <f t="shared" si="10"/>
        <v/>
      </c>
      <c r="AK157" s="83" t="str">
        <f t="shared" si="11"/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 t="shared" si="8"/>
        <v/>
      </c>
      <c r="AE158" s="80" t="str">
        <f t="shared" si="9"/>
        <v/>
      </c>
      <c r="AF158" s="81"/>
      <c r="AG158" s="77"/>
      <c r="AH158" s="81"/>
      <c r="AI158" s="77"/>
      <c r="AJ158" s="82" t="str">
        <f t="shared" si="10"/>
        <v/>
      </c>
      <c r="AK158" s="83" t="str">
        <f t="shared" si="11"/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 t="shared" si="8"/>
        <v/>
      </c>
      <c r="AE159" s="80" t="str">
        <f t="shared" si="9"/>
        <v/>
      </c>
      <c r="AF159" s="81"/>
      <c r="AG159" s="77"/>
      <c r="AH159" s="81"/>
      <c r="AI159" s="77"/>
      <c r="AJ159" s="82" t="str">
        <f t="shared" si="10"/>
        <v/>
      </c>
      <c r="AK159" s="83" t="str">
        <f t="shared" si="11"/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 t="shared" si="8"/>
        <v/>
      </c>
      <c r="AE160" s="80" t="str">
        <f t="shared" si="9"/>
        <v/>
      </c>
      <c r="AF160" s="81"/>
      <c r="AG160" s="77"/>
      <c r="AH160" s="81"/>
      <c r="AI160" s="77"/>
      <c r="AJ160" s="82" t="str">
        <f t="shared" si="10"/>
        <v/>
      </c>
      <c r="AK160" s="83" t="str">
        <f t="shared" si="11"/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 t="shared" si="8"/>
        <v/>
      </c>
      <c r="AE161" s="80" t="str">
        <f t="shared" si="9"/>
        <v/>
      </c>
      <c r="AF161" s="81"/>
      <c r="AG161" s="77"/>
      <c r="AH161" s="81"/>
      <c r="AI161" s="77"/>
      <c r="AJ161" s="82" t="str">
        <f t="shared" si="10"/>
        <v/>
      </c>
      <c r="AK161" s="83" t="str">
        <f t="shared" si="11"/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 t="shared" si="8"/>
        <v/>
      </c>
      <c r="AE162" s="80" t="str">
        <f t="shared" si="9"/>
        <v/>
      </c>
      <c r="AF162" s="81"/>
      <c r="AG162" s="77"/>
      <c r="AH162" s="81"/>
      <c r="AI162" s="77"/>
      <c r="AJ162" s="82" t="str">
        <f t="shared" si="10"/>
        <v/>
      </c>
      <c r="AK162" s="83" t="str">
        <f t="shared" si="11"/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 t="shared" si="8"/>
        <v/>
      </c>
      <c r="AE163" s="80" t="str">
        <f t="shared" si="9"/>
        <v/>
      </c>
      <c r="AF163" s="81"/>
      <c r="AG163" s="77"/>
      <c r="AH163" s="81"/>
      <c r="AI163" s="77"/>
      <c r="AJ163" s="82" t="str">
        <f t="shared" si="10"/>
        <v/>
      </c>
      <c r="AK163" s="83" t="str">
        <f t="shared" si="11"/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 t="shared" si="8"/>
        <v/>
      </c>
      <c r="AE164" s="80" t="str">
        <f t="shared" si="9"/>
        <v/>
      </c>
      <c r="AF164" s="81"/>
      <c r="AG164" s="77"/>
      <c r="AH164" s="81"/>
      <c r="AI164" s="77"/>
      <c r="AJ164" s="82" t="str">
        <f t="shared" si="10"/>
        <v/>
      </c>
      <c r="AK164" s="83" t="str">
        <f t="shared" si="11"/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 t="shared" si="8"/>
        <v/>
      </c>
      <c r="AE165" s="80" t="str">
        <f t="shared" si="9"/>
        <v/>
      </c>
      <c r="AF165" s="81"/>
      <c r="AG165" s="77"/>
      <c r="AH165" s="81"/>
      <c r="AI165" s="77"/>
      <c r="AJ165" s="82" t="str">
        <f t="shared" si="10"/>
        <v/>
      </c>
      <c r="AK165" s="83" t="str">
        <f t="shared" si="11"/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 t="shared" si="8"/>
        <v/>
      </c>
      <c r="AE166" s="80" t="str">
        <f t="shared" si="9"/>
        <v/>
      </c>
      <c r="AF166" s="81"/>
      <c r="AG166" s="77"/>
      <c r="AH166" s="81"/>
      <c r="AI166" s="77"/>
      <c r="AJ166" s="82" t="str">
        <f t="shared" si="10"/>
        <v/>
      </c>
      <c r="AK166" s="83" t="str">
        <f t="shared" si="11"/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 t="shared" si="8"/>
        <v/>
      </c>
      <c r="AE167" s="80" t="str">
        <f t="shared" si="9"/>
        <v/>
      </c>
      <c r="AF167" s="81"/>
      <c r="AG167" s="77"/>
      <c r="AH167" s="81"/>
      <c r="AI167" s="77"/>
      <c r="AJ167" s="82" t="str">
        <f t="shared" si="10"/>
        <v/>
      </c>
      <c r="AK167" s="83" t="str">
        <f t="shared" si="11"/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 t="shared" si="8"/>
        <v/>
      </c>
      <c r="AE168" s="80" t="str">
        <f t="shared" si="9"/>
        <v/>
      </c>
      <c r="AF168" s="81"/>
      <c r="AG168" s="77"/>
      <c r="AH168" s="81"/>
      <c r="AI168" s="77"/>
      <c r="AJ168" s="82" t="str">
        <f t="shared" si="10"/>
        <v/>
      </c>
      <c r="AK168" s="83" t="str">
        <f t="shared" si="11"/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 t="shared" si="8"/>
        <v/>
      </c>
      <c r="AE169" s="80" t="str">
        <f t="shared" si="9"/>
        <v/>
      </c>
      <c r="AF169" s="81"/>
      <c r="AG169" s="77"/>
      <c r="AH169" s="81"/>
      <c r="AI169" s="77"/>
      <c r="AJ169" s="82" t="str">
        <f t="shared" si="10"/>
        <v/>
      </c>
      <c r="AK169" s="83" t="str">
        <f t="shared" si="11"/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 t="shared" si="8"/>
        <v/>
      </c>
      <c r="AE170" s="80" t="str">
        <f t="shared" si="9"/>
        <v/>
      </c>
      <c r="AF170" s="81"/>
      <c r="AG170" s="77"/>
      <c r="AH170" s="81"/>
      <c r="AI170" s="77"/>
      <c r="AJ170" s="82" t="str">
        <f t="shared" si="10"/>
        <v/>
      </c>
      <c r="AK170" s="83" t="str">
        <f t="shared" si="11"/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 t="shared" si="8"/>
        <v/>
      </c>
      <c r="AE171" s="80" t="str">
        <f t="shared" si="9"/>
        <v/>
      </c>
      <c r="AF171" s="81"/>
      <c r="AG171" s="77"/>
      <c r="AH171" s="81"/>
      <c r="AI171" s="77"/>
      <c r="AJ171" s="82" t="str">
        <f t="shared" si="10"/>
        <v/>
      </c>
      <c r="AK171" s="83" t="str">
        <f t="shared" si="11"/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 t="shared" si="8"/>
        <v/>
      </c>
      <c r="AE172" s="80" t="str">
        <f t="shared" si="9"/>
        <v/>
      </c>
      <c r="AF172" s="81"/>
      <c r="AG172" s="77"/>
      <c r="AH172" s="81"/>
      <c r="AI172" s="77"/>
      <c r="AJ172" s="82" t="str">
        <f t="shared" si="10"/>
        <v/>
      </c>
      <c r="AK172" s="83" t="str">
        <f t="shared" si="11"/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 t="shared" si="8"/>
        <v/>
      </c>
      <c r="AE173" s="80" t="str">
        <f t="shared" si="9"/>
        <v/>
      </c>
      <c r="AF173" s="81"/>
      <c r="AG173" s="77"/>
      <c r="AH173" s="81"/>
      <c r="AI173" s="77"/>
      <c r="AJ173" s="82" t="str">
        <f t="shared" si="10"/>
        <v/>
      </c>
      <c r="AK173" s="83" t="str">
        <f t="shared" si="11"/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 t="shared" si="8"/>
        <v/>
      </c>
      <c r="AE174" s="80" t="str">
        <f t="shared" si="9"/>
        <v/>
      </c>
      <c r="AF174" s="81"/>
      <c r="AG174" s="77"/>
      <c r="AH174" s="81"/>
      <c r="AI174" s="77"/>
      <c r="AJ174" s="82" t="str">
        <f t="shared" si="10"/>
        <v/>
      </c>
      <c r="AK174" s="83" t="str">
        <f t="shared" si="11"/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 t="shared" si="8"/>
        <v/>
      </c>
      <c r="AE175" s="80" t="str">
        <f t="shared" si="9"/>
        <v/>
      </c>
      <c r="AF175" s="81"/>
      <c r="AG175" s="77"/>
      <c r="AH175" s="81"/>
      <c r="AI175" s="77"/>
      <c r="AJ175" s="82" t="str">
        <f t="shared" si="10"/>
        <v/>
      </c>
      <c r="AK175" s="83" t="str">
        <f t="shared" si="11"/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 t="shared" si="8"/>
        <v/>
      </c>
      <c r="AE176" s="80" t="str">
        <f t="shared" si="9"/>
        <v/>
      </c>
      <c r="AF176" s="81"/>
      <c r="AG176" s="77"/>
      <c r="AH176" s="81"/>
      <c r="AI176" s="77"/>
      <c r="AJ176" s="82" t="str">
        <f t="shared" si="10"/>
        <v/>
      </c>
      <c r="AK176" s="83" t="str">
        <f t="shared" si="11"/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 t="shared" si="8"/>
        <v/>
      </c>
      <c r="AE177" s="80" t="str">
        <f t="shared" si="9"/>
        <v/>
      </c>
      <c r="AF177" s="81"/>
      <c r="AG177" s="77"/>
      <c r="AH177" s="81"/>
      <c r="AI177" s="77"/>
      <c r="AJ177" s="82" t="str">
        <f t="shared" si="10"/>
        <v/>
      </c>
      <c r="AK177" s="83" t="str">
        <f t="shared" si="11"/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 t="shared" si="8"/>
        <v/>
      </c>
      <c r="AE178" s="80" t="str">
        <f t="shared" si="9"/>
        <v/>
      </c>
      <c r="AF178" s="81"/>
      <c r="AG178" s="77"/>
      <c r="AH178" s="81"/>
      <c r="AI178" s="77"/>
      <c r="AJ178" s="82" t="str">
        <f t="shared" si="10"/>
        <v/>
      </c>
      <c r="AK178" s="83" t="str">
        <f t="shared" si="11"/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 t="shared" si="8"/>
        <v/>
      </c>
      <c r="AE179" s="80" t="str">
        <f t="shared" si="9"/>
        <v/>
      </c>
      <c r="AF179" s="81"/>
      <c r="AG179" s="77"/>
      <c r="AH179" s="81"/>
      <c r="AI179" s="77"/>
      <c r="AJ179" s="82" t="str">
        <f t="shared" si="10"/>
        <v/>
      </c>
      <c r="AK179" s="83" t="str">
        <f t="shared" si="11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8"/>
        <v/>
      </c>
      <c r="AE180" s="80" t="str">
        <f t="shared" si="9"/>
        <v/>
      </c>
      <c r="AF180" s="81"/>
      <c r="AG180" s="77"/>
      <c r="AH180" s="81"/>
      <c r="AI180" s="77"/>
      <c r="AJ180" s="82" t="str">
        <f t="shared" si="10"/>
        <v/>
      </c>
      <c r="AK180" s="83" t="str">
        <f t="shared" si="11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8"/>
        <v/>
      </c>
      <c r="AE181" s="80" t="str">
        <f t="shared" si="9"/>
        <v/>
      </c>
      <c r="AF181" s="81"/>
      <c r="AG181" s="77"/>
      <c r="AH181" s="81"/>
      <c r="AI181" s="77"/>
      <c r="AJ181" s="82" t="str">
        <f t="shared" si="10"/>
        <v/>
      </c>
      <c r="AK181" s="83" t="str">
        <f t="shared" si="11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8"/>
        <v/>
      </c>
      <c r="AE182" s="80" t="str">
        <f t="shared" si="9"/>
        <v/>
      </c>
      <c r="AF182" s="81"/>
      <c r="AG182" s="77"/>
      <c r="AH182" s="81"/>
      <c r="AI182" s="77"/>
      <c r="AJ182" s="82" t="str">
        <f t="shared" si="10"/>
        <v/>
      </c>
      <c r="AK182" s="83" t="str">
        <f t="shared" si="11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8"/>
        <v/>
      </c>
      <c r="AE183" s="80" t="str">
        <f t="shared" si="9"/>
        <v/>
      </c>
      <c r="AF183" s="81"/>
      <c r="AG183" s="77"/>
      <c r="AH183" s="81"/>
      <c r="AI183" s="77"/>
      <c r="AJ183" s="82" t="str">
        <f t="shared" si="10"/>
        <v/>
      </c>
      <c r="AK183" s="83" t="str">
        <f t="shared" si="11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8"/>
        <v/>
      </c>
      <c r="AE184" s="80" t="str">
        <f t="shared" si="9"/>
        <v/>
      </c>
      <c r="AF184" s="81"/>
      <c r="AG184" s="77"/>
      <c r="AH184" s="81"/>
      <c r="AI184" s="77"/>
      <c r="AJ184" s="82" t="str">
        <f t="shared" si="10"/>
        <v/>
      </c>
      <c r="AK184" s="83" t="str">
        <f t="shared" si="11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8"/>
        <v/>
      </c>
      <c r="AE185" s="80" t="str">
        <f t="shared" si="9"/>
        <v/>
      </c>
      <c r="AF185" s="81"/>
      <c r="AG185" s="77"/>
      <c r="AH185" s="81"/>
      <c r="AI185" s="77"/>
      <c r="AJ185" s="82" t="str">
        <f t="shared" si="10"/>
        <v/>
      </c>
      <c r="AK185" s="83" t="str">
        <f t="shared" si="11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8"/>
        <v/>
      </c>
      <c r="AE186" s="80" t="str">
        <f t="shared" si="9"/>
        <v/>
      </c>
      <c r="AF186" s="81"/>
      <c r="AG186" s="77"/>
      <c r="AH186" s="81"/>
      <c r="AI186" s="77"/>
      <c r="AJ186" s="82" t="str">
        <f t="shared" si="10"/>
        <v/>
      </c>
      <c r="AK186" s="83" t="str">
        <f t="shared" si="11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8"/>
        <v/>
      </c>
      <c r="AE187" s="80" t="str">
        <f t="shared" si="9"/>
        <v/>
      </c>
      <c r="AF187" s="81"/>
      <c r="AG187" s="77"/>
      <c r="AH187" s="81"/>
      <c r="AI187" s="77"/>
      <c r="AJ187" s="82" t="str">
        <f t="shared" si="10"/>
        <v/>
      </c>
      <c r="AK187" s="83" t="str">
        <f t="shared" si="11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8"/>
        <v/>
      </c>
      <c r="AE188" s="80" t="str">
        <f t="shared" si="9"/>
        <v/>
      </c>
      <c r="AF188" s="81"/>
      <c r="AG188" s="77"/>
      <c r="AH188" s="81"/>
      <c r="AI188" s="77"/>
      <c r="AJ188" s="82" t="str">
        <f t="shared" si="10"/>
        <v/>
      </c>
      <c r="AK188" s="83" t="str">
        <f t="shared" si="11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8"/>
        <v/>
      </c>
      <c r="AE189" s="80" t="str">
        <f t="shared" si="9"/>
        <v/>
      </c>
      <c r="AF189" s="81"/>
      <c r="AG189" s="77"/>
      <c r="AH189" s="81"/>
      <c r="AI189" s="77"/>
      <c r="AJ189" s="82" t="str">
        <f t="shared" si="10"/>
        <v/>
      </c>
      <c r="AK189" s="83" t="str">
        <f t="shared" si="11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8"/>
        <v/>
      </c>
      <c r="AE190" s="80" t="str">
        <f t="shared" si="9"/>
        <v/>
      </c>
      <c r="AF190" s="81"/>
      <c r="AG190" s="77"/>
      <c r="AH190" s="81"/>
      <c r="AI190" s="77"/>
      <c r="AJ190" s="82" t="str">
        <f t="shared" si="10"/>
        <v/>
      </c>
      <c r="AK190" s="83" t="str">
        <f t="shared" si="11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8"/>
        <v/>
      </c>
      <c r="AE191" s="80" t="str">
        <f t="shared" si="9"/>
        <v/>
      </c>
      <c r="AF191" s="81"/>
      <c r="AG191" s="77"/>
      <c r="AH191" s="81"/>
      <c r="AI191" s="77"/>
      <c r="AJ191" s="82" t="str">
        <f t="shared" si="10"/>
        <v/>
      </c>
      <c r="AK191" s="83" t="str">
        <f t="shared" si="11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8"/>
        <v/>
      </c>
      <c r="AE192" s="80" t="str">
        <f t="shared" si="9"/>
        <v/>
      </c>
      <c r="AF192" s="81"/>
      <c r="AG192" s="77"/>
      <c r="AH192" s="81"/>
      <c r="AI192" s="77"/>
      <c r="AJ192" s="82" t="str">
        <f t="shared" si="10"/>
        <v/>
      </c>
      <c r="AK192" s="83" t="str">
        <f t="shared" si="11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8"/>
        <v/>
      </c>
      <c r="AE193" s="80" t="str">
        <f t="shared" si="9"/>
        <v/>
      </c>
      <c r="AF193" s="81"/>
      <c r="AG193" s="77"/>
      <c r="AH193" s="81"/>
      <c r="AI193" s="77"/>
      <c r="AJ193" s="82" t="str">
        <f t="shared" si="10"/>
        <v/>
      </c>
      <c r="AK193" s="83" t="str">
        <f t="shared" si="11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8"/>
        <v/>
      </c>
      <c r="AE194" s="80" t="str">
        <f t="shared" si="9"/>
        <v/>
      </c>
      <c r="AF194" s="81"/>
      <c r="AG194" s="77"/>
      <c r="AH194" s="81"/>
      <c r="AI194" s="77"/>
      <c r="AJ194" s="82" t="str">
        <f t="shared" si="10"/>
        <v/>
      </c>
      <c r="AK194" s="83" t="str">
        <f t="shared" si="11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8"/>
        <v/>
      </c>
      <c r="AE195" s="80" t="str">
        <f t="shared" si="9"/>
        <v/>
      </c>
      <c r="AF195" s="81"/>
      <c r="AG195" s="77"/>
      <c r="AH195" s="81"/>
      <c r="AI195" s="77"/>
      <c r="AJ195" s="82" t="str">
        <f t="shared" si="10"/>
        <v/>
      </c>
      <c r="AK195" s="83" t="str">
        <f t="shared" si="11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12">IF(MIN(F196,J196,N196,R196,V196,Z196)&lt;&gt;0,MIN(F196,J196,N196,R196,V196,Z196),"")</f>
        <v/>
      </c>
      <c r="AE196" s="80" t="str">
        <f t="shared" ref="AE196:AE259" si="13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14">IF(AD196="","",IF(ISBLANK(AF196),"En cours",AD196+AF196))</f>
        <v/>
      </c>
      <c r="AK196" s="83" t="str">
        <f t="shared" ref="AK196:AK259" si="15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12"/>
        <v/>
      </c>
      <c r="AE197" s="80" t="str">
        <f t="shared" si="13"/>
        <v/>
      </c>
      <c r="AF197" s="81"/>
      <c r="AG197" s="77"/>
      <c r="AH197" s="81"/>
      <c r="AI197" s="77"/>
      <c r="AJ197" s="82" t="str">
        <f t="shared" si="14"/>
        <v/>
      </c>
      <c r="AK197" s="83" t="str">
        <f t="shared" si="15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12"/>
        <v/>
      </c>
      <c r="AE198" s="80" t="str">
        <f t="shared" si="13"/>
        <v/>
      </c>
      <c r="AF198" s="81"/>
      <c r="AG198" s="77"/>
      <c r="AH198" s="81"/>
      <c r="AI198" s="77"/>
      <c r="AJ198" s="82" t="str">
        <f t="shared" si="14"/>
        <v/>
      </c>
      <c r="AK198" s="83" t="str">
        <f t="shared" si="15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12"/>
        <v/>
      </c>
      <c r="AE199" s="80" t="str">
        <f t="shared" si="13"/>
        <v/>
      </c>
      <c r="AF199" s="81"/>
      <c r="AG199" s="77"/>
      <c r="AH199" s="81"/>
      <c r="AI199" s="77"/>
      <c r="AJ199" s="82" t="str">
        <f t="shared" si="14"/>
        <v/>
      </c>
      <c r="AK199" s="83" t="str">
        <f t="shared" si="15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12"/>
        <v/>
      </c>
      <c r="AE200" s="80" t="str">
        <f t="shared" si="13"/>
        <v/>
      </c>
      <c r="AF200" s="81"/>
      <c r="AG200" s="77"/>
      <c r="AH200" s="81"/>
      <c r="AI200" s="77"/>
      <c r="AJ200" s="82" t="str">
        <f t="shared" si="14"/>
        <v/>
      </c>
      <c r="AK200" s="83" t="str">
        <f t="shared" si="15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12"/>
        <v/>
      </c>
      <c r="AE201" s="80" t="str">
        <f t="shared" si="13"/>
        <v/>
      </c>
      <c r="AF201" s="81"/>
      <c r="AG201" s="77"/>
      <c r="AH201" s="81"/>
      <c r="AI201" s="77"/>
      <c r="AJ201" s="82" t="str">
        <f t="shared" si="14"/>
        <v/>
      </c>
      <c r="AK201" s="83" t="str">
        <f t="shared" si="15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12"/>
        <v/>
      </c>
      <c r="AE202" s="80" t="str">
        <f t="shared" si="13"/>
        <v/>
      </c>
      <c r="AF202" s="81"/>
      <c r="AG202" s="77"/>
      <c r="AH202" s="81"/>
      <c r="AI202" s="77"/>
      <c r="AJ202" s="82" t="str">
        <f t="shared" si="14"/>
        <v/>
      </c>
      <c r="AK202" s="83" t="str">
        <f t="shared" si="15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12"/>
        <v/>
      </c>
      <c r="AE203" s="80" t="str">
        <f t="shared" si="13"/>
        <v/>
      </c>
      <c r="AF203" s="81"/>
      <c r="AG203" s="77"/>
      <c r="AH203" s="81"/>
      <c r="AI203" s="77"/>
      <c r="AJ203" s="82" t="str">
        <f t="shared" si="14"/>
        <v/>
      </c>
      <c r="AK203" s="83" t="str">
        <f t="shared" si="15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12"/>
        <v/>
      </c>
      <c r="AE204" s="80" t="str">
        <f t="shared" si="13"/>
        <v/>
      </c>
      <c r="AF204" s="81"/>
      <c r="AG204" s="77"/>
      <c r="AH204" s="81"/>
      <c r="AI204" s="77"/>
      <c r="AJ204" s="82" t="str">
        <f t="shared" si="14"/>
        <v/>
      </c>
      <c r="AK204" s="83" t="str">
        <f t="shared" si="15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12"/>
        <v/>
      </c>
      <c r="AE205" s="80" t="str">
        <f t="shared" si="13"/>
        <v/>
      </c>
      <c r="AF205" s="81"/>
      <c r="AG205" s="77"/>
      <c r="AH205" s="81"/>
      <c r="AI205" s="77"/>
      <c r="AJ205" s="82" t="str">
        <f t="shared" si="14"/>
        <v/>
      </c>
      <c r="AK205" s="83" t="str">
        <f t="shared" si="15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12"/>
        <v/>
      </c>
      <c r="AE206" s="80" t="str">
        <f t="shared" si="13"/>
        <v/>
      </c>
      <c r="AF206" s="81"/>
      <c r="AG206" s="77"/>
      <c r="AH206" s="81"/>
      <c r="AI206" s="77"/>
      <c r="AJ206" s="82" t="str">
        <f t="shared" si="14"/>
        <v/>
      </c>
      <c r="AK206" s="83" t="str">
        <f t="shared" si="15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12"/>
        <v/>
      </c>
      <c r="AE207" s="80" t="str">
        <f t="shared" si="13"/>
        <v/>
      </c>
      <c r="AF207" s="81"/>
      <c r="AG207" s="77"/>
      <c r="AH207" s="81"/>
      <c r="AI207" s="77"/>
      <c r="AJ207" s="82" t="str">
        <f t="shared" si="14"/>
        <v/>
      </c>
      <c r="AK207" s="83" t="str">
        <f t="shared" si="15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12"/>
        <v/>
      </c>
      <c r="AE208" s="80" t="str">
        <f t="shared" si="13"/>
        <v/>
      </c>
      <c r="AF208" s="81"/>
      <c r="AG208" s="77"/>
      <c r="AH208" s="81"/>
      <c r="AI208" s="77"/>
      <c r="AJ208" s="82" t="str">
        <f t="shared" si="14"/>
        <v/>
      </c>
      <c r="AK208" s="83" t="str">
        <f t="shared" si="15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12"/>
        <v/>
      </c>
      <c r="AE209" s="80" t="str">
        <f t="shared" si="13"/>
        <v/>
      </c>
      <c r="AF209" s="81"/>
      <c r="AG209" s="77"/>
      <c r="AH209" s="81"/>
      <c r="AI209" s="77"/>
      <c r="AJ209" s="82" t="str">
        <f t="shared" si="14"/>
        <v/>
      </c>
      <c r="AK209" s="83" t="str">
        <f t="shared" si="15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12"/>
        <v/>
      </c>
      <c r="AE210" s="80" t="str">
        <f t="shared" si="13"/>
        <v/>
      </c>
      <c r="AF210" s="81"/>
      <c r="AG210" s="77"/>
      <c r="AH210" s="81"/>
      <c r="AI210" s="77"/>
      <c r="AJ210" s="82" t="str">
        <f t="shared" si="14"/>
        <v/>
      </c>
      <c r="AK210" s="83" t="str">
        <f t="shared" si="15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12"/>
        <v/>
      </c>
      <c r="AE211" s="80" t="str">
        <f t="shared" si="13"/>
        <v/>
      </c>
      <c r="AF211" s="81"/>
      <c r="AG211" s="77"/>
      <c r="AH211" s="81"/>
      <c r="AI211" s="77"/>
      <c r="AJ211" s="82" t="str">
        <f t="shared" si="14"/>
        <v/>
      </c>
      <c r="AK211" s="83" t="str">
        <f t="shared" si="15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12"/>
        <v/>
      </c>
      <c r="AE212" s="80" t="str">
        <f t="shared" si="13"/>
        <v/>
      </c>
      <c r="AF212" s="81"/>
      <c r="AG212" s="77"/>
      <c r="AH212" s="81"/>
      <c r="AI212" s="77"/>
      <c r="AJ212" s="82" t="str">
        <f t="shared" si="14"/>
        <v/>
      </c>
      <c r="AK212" s="83" t="str">
        <f t="shared" si="15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12"/>
        <v/>
      </c>
      <c r="AE213" s="80" t="str">
        <f t="shared" si="13"/>
        <v/>
      </c>
      <c r="AF213" s="81"/>
      <c r="AG213" s="77"/>
      <c r="AH213" s="81"/>
      <c r="AI213" s="77"/>
      <c r="AJ213" s="82" t="str">
        <f t="shared" si="14"/>
        <v/>
      </c>
      <c r="AK213" s="83" t="str">
        <f t="shared" si="15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12"/>
        <v/>
      </c>
      <c r="AE214" s="80" t="str">
        <f t="shared" si="13"/>
        <v/>
      </c>
      <c r="AF214" s="81"/>
      <c r="AG214" s="77"/>
      <c r="AH214" s="81"/>
      <c r="AI214" s="77"/>
      <c r="AJ214" s="82" t="str">
        <f t="shared" si="14"/>
        <v/>
      </c>
      <c r="AK214" s="83" t="str">
        <f t="shared" si="15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12"/>
        <v/>
      </c>
      <c r="AE215" s="80" t="str">
        <f t="shared" si="13"/>
        <v/>
      </c>
      <c r="AF215" s="81"/>
      <c r="AG215" s="77"/>
      <c r="AH215" s="81"/>
      <c r="AI215" s="77"/>
      <c r="AJ215" s="82" t="str">
        <f t="shared" si="14"/>
        <v/>
      </c>
      <c r="AK215" s="83" t="str">
        <f t="shared" si="15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12"/>
        <v/>
      </c>
      <c r="AE216" s="80" t="str">
        <f t="shared" si="13"/>
        <v/>
      </c>
      <c r="AF216" s="81"/>
      <c r="AG216" s="77"/>
      <c r="AH216" s="81"/>
      <c r="AI216" s="77"/>
      <c r="AJ216" s="82" t="str">
        <f t="shared" si="14"/>
        <v/>
      </c>
      <c r="AK216" s="83" t="str">
        <f t="shared" si="15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12"/>
        <v/>
      </c>
      <c r="AE217" s="80" t="str">
        <f t="shared" si="13"/>
        <v/>
      </c>
      <c r="AF217" s="81"/>
      <c r="AG217" s="77"/>
      <c r="AH217" s="81"/>
      <c r="AI217" s="77"/>
      <c r="AJ217" s="82" t="str">
        <f t="shared" si="14"/>
        <v/>
      </c>
      <c r="AK217" s="83" t="str">
        <f t="shared" si="15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12"/>
        <v/>
      </c>
      <c r="AE218" s="80" t="str">
        <f t="shared" si="13"/>
        <v/>
      </c>
      <c r="AF218" s="81"/>
      <c r="AG218" s="77"/>
      <c r="AH218" s="81"/>
      <c r="AI218" s="77"/>
      <c r="AJ218" s="82" t="str">
        <f t="shared" si="14"/>
        <v/>
      </c>
      <c r="AK218" s="83" t="str">
        <f t="shared" si="15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12"/>
        <v/>
      </c>
      <c r="AE219" s="80" t="str">
        <f t="shared" si="13"/>
        <v/>
      </c>
      <c r="AF219" s="81"/>
      <c r="AG219" s="77"/>
      <c r="AH219" s="81"/>
      <c r="AI219" s="77"/>
      <c r="AJ219" s="82" t="str">
        <f t="shared" si="14"/>
        <v/>
      </c>
      <c r="AK219" s="83" t="str">
        <f t="shared" si="15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12"/>
        <v/>
      </c>
      <c r="AE220" s="80" t="str">
        <f t="shared" si="13"/>
        <v/>
      </c>
      <c r="AF220" s="81"/>
      <c r="AG220" s="77"/>
      <c r="AH220" s="81"/>
      <c r="AI220" s="77"/>
      <c r="AJ220" s="82" t="str">
        <f t="shared" si="14"/>
        <v/>
      </c>
      <c r="AK220" s="83" t="str">
        <f t="shared" si="15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12"/>
        <v/>
      </c>
      <c r="AE221" s="80" t="str">
        <f t="shared" si="13"/>
        <v/>
      </c>
      <c r="AF221" s="81"/>
      <c r="AG221" s="77"/>
      <c r="AH221" s="81"/>
      <c r="AI221" s="77"/>
      <c r="AJ221" s="82" t="str">
        <f t="shared" si="14"/>
        <v/>
      </c>
      <c r="AK221" s="83" t="str">
        <f t="shared" si="15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12"/>
        <v/>
      </c>
      <c r="AE222" s="80" t="str">
        <f t="shared" si="13"/>
        <v/>
      </c>
      <c r="AF222" s="81"/>
      <c r="AG222" s="77"/>
      <c r="AH222" s="81"/>
      <c r="AI222" s="77"/>
      <c r="AJ222" s="82" t="str">
        <f t="shared" si="14"/>
        <v/>
      </c>
      <c r="AK222" s="83" t="str">
        <f t="shared" si="15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12"/>
        <v/>
      </c>
      <c r="AE223" s="80" t="str">
        <f t="shared" si="13"/>
        <v/>
      </c>
      <c r="AF223" s="81"/>
      <c r="AG223" s="77"/>
      <c r="AH223" s="81"/>
      <c r="AI223" s="77"/>
      <c r="AJ223" s="82" t="str">
        <f t="shared" si="14"/>
        <v/>
      </c>
      <c r="AK223" s="83" t="str">
        <f t="shared" si="15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12"/>
        <v/>
      </c>
      <c r="AE224" s="80" t="str">
        <f t="shared" si="13"/>
        <v/>
      </c>
      <c r="AF224" s="81"/>
      <c r="AG224" s="77"/>
      <c r="AH224" s="81"/>
      <c r="AI224" s="77"/>
      <c r="AJ224" s="82" t="str">
        <f t="shared" si="14"/>
        <v/>
      </c>
      <c r="AK224" s="83" t="str">
        <f t="shared" si="15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12"/>
        <v/>
      </c>
      <c r="AE225" s="80" t="str">
        <f t="shared" si="13"/>
        <v/>
      </c>
      <c r="AF225" s="81"/>
      <c r="AG225" s="77"/>
      <c r="AH225" s="81"/>
      <c r="AI225" s="77"/>
      <c r="AJ225" s="82" t="str">
        <f t="shared" si="14"/>
        <v/>
      </c>
      <c r="AK225" s="83" t="str">
        <f t="shared" si="15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12"/>
        <v/>
      </c>
      <c r="AE226" s="80" t="str">
        <f t="shared" si="13"/>
        <v/>
      </c>
      <c r="AF226" s="81"/>
      <c r="AG226" s="77"/>
      <c r="AH226" s="81"/>
      <c r="AI226" s="77"/>
      <c r="AJ226" s="82" t="str">
        <f t="shared" si="14"/>
        <v/>
      </c>
      <c r="AK226" s="83" t="str">
        <f t="shared" si="15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12"/>
        <v/>
      </c>
      <c r="AE227" s="80" t="str">
        <f t="shared" si="13"/>
        <v/>
      </c>
      <c r="AF227" s="81"/>
      <c r="AG227" s="77"/>
      <c r="AH227" s="81"/>
      <c r="AI227" s="77"/>
      <c r="AJ227" s="82" t="str">
        <f t="shared" si="14"/>
        <v/>
      </c>
      <c r="AK227" s="83" t="str">
        <f t="shared" si="15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12"/>
        <v/>
      </c>
      <c r="AE228" s="80" t="str">
        <f t="shared" si="13"/>
        <v/>
      </c>
      <c r="AF228" s="81"/>
      <c r="AG228" s="77"/>
      <c r="AH228" s="81"/>
      <c r="AI228" s="77"/>
      <c r="AJ228" s="82" t="str">
        <f t="shared" si="14"/>
        <v/>
      </c>
      <c r="AK228" s="83" t="str">
        <f t="shared" si="15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12"/>
        <v/>
      </c>
      <c r="AE229" s="80" t="str">
        <f t="shared" si="13"/>
        <v/>
      </c>
      <c r="AF229" s="81"/>
      <c r="AG229" s="77"/>
      <c r="AH229" s="81"/>
      <c r="AI229" s="77"/>
      <c r="AJ229" s="82" t="str">
        <f t="shared" si="14"/>
        <v/>
      </c>
      <c r="AK229" s="83" t="str">
        <f t="shared" si="15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12"/>
        <v/>
      </c>
      <c r="AE230" s="80" t="str">
        <f t="shared" si="13"/>
        <v/>
      </c>
      <c r="AF230" s="81"/>
      <c r="AG230" s="77"/>
      <c r="AH230" s="81"/>
      <c r="AI230" s="77"/>
      <c r="AJ230" s="82" t="str">
        <f t="shared" si="14"/>
        <v/>
      </c>
      <c r="AK230" s="83" t="str">
        <f t="shared" si="15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12"/>
        <v/>
      </c>
      <c r="AE231" s="80" t="str">
        <f t="shared" si="13"/>
        <v/>
      </c>
      <c r="AF231" s="81"/>
      <c r="AG231" s="77"/>
      <c r="AH231" s="81"/>
      <c r="AI231" s="77"/>
      <c r="AJ231" s="82" t="str">
        <f t="shared" si="14"/>
        <v/>
      </c>
      <c r="AK231" s="83" t="str">
        <f t="shared" si="15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12"/>
        <v/>
      </c>
      <c r="AE232" s="80" t="str">
        <f t="shared" si="13"/>
        <v/>
      </c>
      <c r="AF232" s="81"/>
      <c r="AG232" s="77"/>
      <c r="AH232" s="81"/>
      <c r="AI232" s="77"/>
      <c r="AJ232" s="82" t="str">
        <f t="shared" si="14"/>
        <v/>
      </c>
      <c r="AK232" s="83" t="str">
        <f t="shared" si="15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12"/>
        <v/>
      </c>
      <c r="AE233" s="80" t="str">
        <f t="shared" si="13"/>
        <v/>
      </c>
      <c r="AF233" s="81"/>
      <c r="AG233" s="77"/>
      <c r="AH233" s="81"/>
      <c r="AI233" s="77"/>
      <c r="AJ233" s="82" t="str">
        <f t="shared" si="14"/>
        <v/>
      </c>
      <c r="AK233" s="83" t="str">
        <f t="shared" si="15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12"/>
        <v/>
      </c>
      <c r="AE234" s="80" t="str">
        <f t="shared" si="13"/>
        <v/>
      </c>
      <c r="AF234" s="81"/>
      <c r="AG234" s="77"/>
      <c r="AH234" s="81"/>
      <c r="AI234" s="77"/>
      <c r="AJ234" s="82" t="str">
        <f t="shared" si="14"/>
        <v/>
      </c>
      <c r="AK234" s="83" t="str">
        <f t="shared" si="15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12"/>
        <v/>
      </c>
      <c r="AE235" s="80" t="str">
        <f t="shared" si="13"/>
        <v/>
      </c>
      <c r="AF235" s="81"/>
      <c r="AG235" s="77"/>
      <c r="AH235" s="81"/>
      <c r="AI235" s="77"/>
      <c r="AJ235" s="82" t="str">
        <f t="shared" si="14"/>
        <v/>
      </c>
      <c r="AK235" s="83" t="str">
        <f t="shared" si="15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12"/>
        <v/>
      </c>
      <c r="AE236" s="80" t="str">
        <f t="shared" si="13"/>
        <v/>
      </c>
      <c r="AF236" s="81"/>
      <c r="AG236" s="77"/>
      <c r="AH236" s="81"/>
      <c r="AI236" s="77"/>
      <c r="AJ236" s="82" t="str">
        <f t="shared" si="14"/>
        <v/>
      </c>
      <c r="AK236" s="83" t="str">
        <f t="shared" si="15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12"/>
        <v/>
      </c>
      <c r="AE237" s="80" t="str">
        <f t="shared" si="13"/>
        <v/>
      </c>
      <c r="AF237" s="81"/>
      <c r="AG237" s="77"/>
      <c r="AH237" s="81"/>
      <c r="AI237" s="77"/>
      <c r="AJ237" s="82" t="str">
        <f t="shared" si="14"/>
        <v/>
      </c>
      <c r="AK237" s="83" t="str">
        <f t="shared" si="15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12"/>
        <v/>
      </c>
      <c r="AE238" s="80" t="str">
        <f t="shared" si="13"/>
        <v/>
      </c>
      <c r="AF238" s="81"/>
      <c r="AG238" s="77"/>
      <c r="AH238" s="81"/>
      <c r="AI238" s="77"/>
      <c r="AJ238" s="82" t="str">
        <f t="shared" si="14"/>
        <v/>
      </c>
      <c r="AK238" s="83" t="str">
        <f t="shared" si="15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12"/>
        <v/>
      </c>
      <c r="AE239" s="80" t="str">
        <f t="shared" si="13"/>
        <v/>
      </c>
      <c r="AF239" s="81"/>
      <c r="AG239" s="77"/>
      <c r="AH239" s="81"/>
      <c r="AI239" s="77"/>
      <c r="AJ239" s="82" t="str">
        <f t="shared" si="14"/>
        <v/>
      </c>
      <c r="AK239" s="83" t="str">
        <f t="shared" si="15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12"/>
        <v/>
      </c>
      <c r="AE240" s="80" t="str">
        <f t="shared" si="13"/>
        <v/>
      </c>
      <c r="AF240" s="81"/>
      <c r="AG240" s="77"/>
      <c r="AH240" s="81"/>
      <c r="AI240" s="77"/>
      <c r="AJ240" s="82" t="str">
        <f t="shared" si="14"/>
        <v/>
      </c>
      <c r="AK240" s="83" t="str">
        <f t="shared" si="15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12"/>
        <v/>
      </c>
      <c r="AE241" s="80" t="str">
        <f t="shared" si="13"/>
        <v/>
      </c>
      <c r="AF241" s="81"/>
      <c r="AG241" s="77"/>
      <c r="AH241" s="81"/>
      <c r="AI241" s="77"/>
      <c r="AJ241" s="82" t="str">
        <f t="shared" si="14"/>
        <v/>
      </c>
      <c r="AK241" s="83" t="str">
        <f t="shared" si="15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12"/>
        <v/>
      </c>
      <c r="AE242" s="80" t="str">
        <f t="shared" si="13"/>
        <v/>
      </c>
      <c r="AF242" s="81"/>
      <c r="AG242" s="77"/>
      <c r="AH242" s="81"/>
      <c r="AI242" s="77"/>
      <c r="AJ242" s="82" t="str">
        <f t="shared" si="14"/>
        <v/>
      </c>
      <c r="AK242" s="83" t="str">
        <f t="shared" si="15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12"/>
        <v/>
      </c>
      <c r="AE243" s="80" t="str">
        <f t="shared" si="13"/>
        <v/>
      </c>
      <c r="AF243" s="81"/>
      <c r="AG243" s="77"/>
      <c r="AH243" s="81"/>
      <c r="AI243" s="77"/>
      <c r="AJ243" s="82" t="str">
        <f t="shared" si="14"/>
        <v/>
      </c>
      <c r="AK243" s="83" t="str">
        <f t="shared" si="15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12"/>
        <v/>
      </c>
      <c r="AE244" s="80" t="str">
        <f t="shared" si="13"/>
        <v/>
      </c>
      <c r="AF244" s="81"/>
      <c r="AG244" s="77"/>
      <c r="AH244" s="81"/>
      <c r="AI244" s="77"/>
      <c r="AJ244" s="82" t="str">
        <f t="shared" si="14"/>
        <v/>
      </c>
      <c r="AK244" s="83" t="str">
        <f t="shared" si="15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12"/>
        <v/>
      </c>
      <c r="AE245" s="80" t="str">
        <f t="shared" si="13"/>
        <v/>
      </c>
      <c r="AF245" s="81"/>
      <c r="AG245" s="77"/>
      <c r="AH245" s="81"/>
      <c r="AI245" s="77"/>
      <c r="AJ245" s="82" t="str">
        <f t="shared" si="14"/>
        <v/>
      </c>
      <c r="AK245" s="83" t="str">
        <f t="shared" si="15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12"/>
        <v/>
      </c>
      <c r="AE246" s="80" t="str">
        <f t="shared" si="13"/>
        <v/>
      </c>
      <c r="AF246" s="81"/>
      <c r="AG246" s="77"/>
      <c r="AH246" s="81"/>
      <c r="AI246" s="77"/>
      <c r="AJ246" s="82" t="str">
        <f t="shared" si="14"/>
        <v/>
      </c>
      <c r="AK246" s="83" t="str">
        <f t="shared" si="15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12"/>
        <v/>
      </c>
      <c r="AE247" s="80" t="str">
        <f t="shared" si="13"/>
        <v/>
      </c>
      <c r="AF247" s="81"/>
      <c r="AG247" s="77"/>
      <c r="AH247" s="81"/>
      <c r="AI247" s="77"/>
      <c r="AJ247" s="82" t="str">
        <f t="shared" si="14"/>
        <v/>
      </c>
      <c r="AK247" s="83" t="str">
        <f t="shared" si="15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12"/>
        <v/>
      </c>
      <c r="AE248" s="80" t="str">
        <f t="shared" si="13"/>
        <v/>
      </c>
      <c r="AF248" s="81"/>
      <c r="AG248" s="77"/>
      <c r="AH248" s="81"/>
      <c r="AI248" s="77"/>
      <c r="AJ248" s="82" t="str">
        <f t="shared" si="14"/>
        <v/>
      </c>
      <c r="AK248" s="83" t="str">
        <f t="shared" si="15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12"/>
        <v/>
      </c>
      <c r="AE249" s="80" t="str">
        <f t="shared" si="13"/>
        <v/>
      </c>
      <c r="AF249" s="81"/>
      <c r="AG249" s="77"/>
      <c r="AH249" s="81"/>
      <c r="AI249" s="77"/>
      <c r="AJ249" s="82" t="str">
        <f t="shared" si="14"/>
        <v/>
      </c>
      <c r="AK249" s="83" t="str">
        <f t="shared" si="15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12"/>
        <v/>
      </c>
      <c r="AE250" s="80" t="str">
        <f t="shared" si="13"/>
        <v/>
      </c>
      <c r="AF250" s="81"/>
      <c r="AG250" s="77"/>
      <c r="AH250" s="81"/>
      <c r="AI250" s="77"/>
      <c r="AJ250" s="82" t="str">
        <f t="shared" si="14"/>
        <v/>
      </c>
      <c r="AK250" s="83" t="str">
        <f t="shared" si="15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12"/>
        <v/>
      </c>
      <c r="AE251" s="80" t="str">
        <f t="shared" si="13"/>
        <v/>
      </c>
      <c r="AF251" s="81"/>
      <c r="AG251" s="77"/>
      <c r="AH251" s="81"/>
      <c r="AI251" s="77"/>
      <c r="AJ251" s="82" t="str">
        <f t="shared" si="14"/>
        <v/>
      </c>
      <c r="AK251" s="83" t="str">
        <f t="shared" si="15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12"/>
        <v/>
      </c>
      <c r="AE252" s="80" t="str">
        <f t="shared" si="13"/>
        <v/>
      </c>
      <c r="AF252" s="81"/>
      <c r="AG252" s="77"/>
      <c r="AH252" s="81"/>
      <c r="AI252" s="77"/>
      <c r="AJ252" s="82" t="str">
        <f t="shared" si="14"/>
        <v/>
      </c>
      <c r="AK252" s="83" t="str">
        <f t="shared" si="15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12"/>
        <v/>
      </c>
      <c r="AE253" s="80" t="str">
        <f t="shared" si="13"/>
        <v/>
      </c>
      <c r="AF253" s="81"/>
      <c r="AG253" s="77"/>
      <c r="AH253" s="81"/>
      <c r="AI253" s="77"/>
      <c r="AJ253" s="82" t="str">
        <f t="shared" si="14"/>
        <v/>
      </c>
      <c r="AK253" s="83" t="str">
        <f t="shared" si="15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12"/>
        <v/>
      </c>
      <c r="AE254" s="80" t="str">
        <f t="shared" si="13"/>
        <v/>
      </c>
      <c r="AF254" s="81"/>
      <c r="AG254" s="77"/>
      <c r="AH254" s="81"/>
      <c r="AI254" s="77"/>
      <c r="AJ254" s="82" t="str">
        <f t="shared" si="14"/>
        <v/>
      </c>
      <c r="AK254" s="83" t="str">
        <f t="shared" si="15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12"/>
        <v/>
      </c>
      <c r="AE255" s="80" t="str">
        <f t="shared" si="13"/>
        <v/>
      </c>
      <c r="AF255" s="81"/>
      <c r="AG255" s="77"/>
      <c r="AH255" s="81"/>
      <c r="AI255" s="77"/>
      <c r="AJ255" s="82" t="str">
        <f t="shared" si="14"/>
        <v/>
      </c>
      <c r="AK255" s="83" t="str">
        <f t="shared" si="15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12"/>
        <v/>
      </c>
      <c r="AE256" s="80" t="str">
        <f t="shared" si="13"/>
        <v/>
      </c>
      <c r="AF256" s="81"/>
      <c r="AG256" s="77"/>
      <c r="AH256" s="81"/>
      <c r="AI256" s="77"/>
      <c r="AJ256" s="82" t="str">
        <f t="shared" si="14"/>
        <v/>
      </c>
      <c r="AK256" s="83" t="str">
        <f t="shared" si="15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12"/>
        <v/>
      </c>
      <c r="AE257" s="80" t="str">
        <f t="shared" si="13"/>
        <v/>
      </c>
      <c r="AF257" s="81"/>
      <c r="AG257" s="77"/>
      <c r="AH257" s="81"/>
      <c r="AI257" s="77"/>
      <c r="AJ257" s="82" t="str">
        <f t="shared" si="14"/>
        <v/>
      </c>
      <c r="AK257" s="83" t="str">
        <f t="shared" si="15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12"/>
        <v/>
      </c>
      <c r="AE258" s="80" t="str">
        <f t="shared" si="13"/>
        <v/>
      </c>
      <c r="AF258" s="81"/>
      <c r="AG258" s="77"/>
      <c r="AH258" s="81"/>
      <c r="AI258" s="77"/>
      <c r="AJ258" s="82" t="str">
        <f t="shared" si="14"/>
        <v/>
      </c>
      <c r="AK258" s="83" t="str">
        <f t="shared" si="15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12"/>
        <v/>
      </c>
      <c r="AE259" s="80" t="str">
        <f t="shared" si="13"/>
        <v/>
      </c>
      <c r="AF259" s="81"/>
      <c r="AG259" s="77"/>
      <c r="AH259" s="81"/>
      <c r="AI259" s="77"/>
      <c r="AJ259" s="82" t="str">
        <f t="shared" si="14"/>
        <v/>
      </c>
      <c r="AK259" s="83" t="str">
        <f t="shared" si="15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16">IF(MIN(F260,J260,N260,R260,V260,Z260)&lt;&gt;0,MIN(F260,J260,N260,R260,V260,Z260),"")</f>
        <v/>
      </c>
      <c r="AE260" s="80" t="str">
        <f t="shared" ref="AE260:AE323" si="17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18">IF(AD260="","",IF(ISBLANK(AF260),"En cours",AD260+AF260))</f>
        <v/>
      </c>
      <c r="AK260" s="83" t="str">
        <f t="shared" ref="AK260:AK323" si="19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16"/>
        <v/>
      </c>
      <c r="AE261" s="80" t="str">
        <f t="shared" si="17"/>
        <v/>
      </c>
      <c r="AF261" s="81"/>
      <c r="AG261" s="77"/>
      <c r="AH261" s="81"/>
      <c r="AI261" s="77"/>
      <c r="AJ261" s="82" t="str">
        <f t="shared" si="18"/>
        <v/>
      </c>
      <c r="AK261" s="83" t="str">
        <f t="shared" si="19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16"/>
        <v/>
      </c>
      <c r="AE262" s="80" t="str">
        <f t="shared" si="17"/>
        <v/>
      </c>
      <c r="AF262" s="81"/>
      <c r="AG262" s="77"/>
      <c r="AH262" s="81"/>
      <c r="AI262" s="77"/>
      <c r="AJ262" s="82" t="str">
        <f t="shared" si="18"/>
        <v/>
      </c>
      <c r="AK262" s="83" t="str">
        <f t="shared" si="19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16"/>
        <v/>
      </c>
      <c r="AE263" s="80" t="str">
        <f t="shared" si="17"/>
        <v/>
      </c>
      <c r="AF263" s="81"/>
      <c r="AG263" s="77"/>
      <c r="AH263" s="81"/>
      <c r="AI263" s="77"/>
      <c r="AJ263" s="82" t="str">
        <f t="shared" si="18"/>
        <v/>
      </c>
      <c r="AK263" s="83" t="str">
        <f t="shared" si="19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16"/>
        <v/>
      </c>
      <c r="AE264" s="80" t="str">
        <f t="shared" si="17"/>
        <v/>
      </c>
      <c r="AF264" s="81"/>
      <c r="AG264" s="77"/>
      <c r="AH264" s="81"/>
      <c r="AI264" s="77"/>
      <c r="AJ264" s="82" t="str">
        <f t="shared" si="18"/>
        <v/>
      </c>
      <c r="AK264" s="83" t="str">
        <f t="shared" si="19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16"/>
        <v/>
      </c>
      <c r="AE265" s="80" t="str">
        <f t="shared" si="17"/>
        <v/>
      </c>
      <c r="AF265" s="81"/>
      <c r="AG265" s="77"/>
      <c r="AH265" s="81"/>
      <c r="AI265" s="77"/>
      <c r="AJ265" s="82" t="str">
        <f t="shared" si="18"/>
        <v/>
      </c>
      <c r="AK265" s="83" t="str">
        <f t="shared" si="19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16"/>
        <v/>
      </c>
      <c r="AE266" s="80" t="str">
        <f t="shared" si="17"/>
        <v/>
      </c>
      <c r="AF266" s="81"/>
      <c r="AG266" s="77"/>
      <c r="AH266" s="81"/>
      <c r="AI266" s="77"/>
      <c r="AJ266" s="82" t="str">
        <f t="shared" si="18"/>
        <v/>
      </c>
      <c r="AK266" s="83" t="str">
        <f t="shared" si="19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16"/>
        <v/>
      </c>
      <c r="AE267" s="80" t="str">
        <f t="shared" si="17"/>
        <v/>
      </c>
      <c r="AF267" s="81"/>
      <c r="AG267" s="77"/>
      <c r="AH267" s="81"/>
      <c r="AI267" s="77"/>
      <c r="AJ267" s="82" t="str">
        <f t="shared" si="18"/>
        <v/>
      </c>
      <c r="AK267" s="83" t="str">
        <f t="shared" si="19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16"/>
        <v/>
      </c>
      <c r="AE268" s="80" t="str">
        <f t="shared" si="17"/>
        <v/>
      </c>
      <c r="AF268" s="81"/>
      <c r="AG268" s="77"/>
      <c r="AH268" s="81"/>
      <c r="AI268" s="77"/>
      <c r="AJ268" s="82" t="str">
        <f t="shared" si="18"/>
        <v/>
      </c>
      <c r="AK268" s="83" t="str">
        <f t="shared" si="19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16"/>
        <v/>
      </c>
      <c r="AE269" s="80" t="str">
        <f t="shared" si="17"/>
        <v/>
      </c>
      <c r="AF269" s="81"/>
      <c r="AG269" s="77"/>
      <c r="AH269" s="81"/>
      <c r="AI269" s="77"/>
      <c r="AJ269" s="82" t="str">
        <f t="shared" si="18"/>
        <v/>
      </c>
      <c r="AK269" s="83" t="str">
        <f t="shared" si="19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16"/>
        <v/>
      </c>
      <c r="AE270" s="80" t="str">
        <f t="shared" si="17"/>
        <v/>
      </c>
      <c r="AF270" s="81"/>
      <c r="AG270" s="77"/>
      <c r="AH270" s="81"/>
      <c r="AI270" s="77"/>
      <c r="AJ270" s="82" t="str">
        <f t="shared" si="18"/>
        <v/>
      </c>
      <c r="AK270" s="83" t="str">
        <f t="shared" si="19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16"/>
        <v/>
      </c>
      <c r="AE271" s="80" t="str">
        <f t="shared" si="17"/>
        <v/>
      </c>
      <c r="AF271" s="81"/>
      <c r="AG271" s="77"/>
      <c r="AH271" s="81"/>
      <c r="AI271" s="77"/>
      <c r="AJ271" s="82" t="str">
        <f t="shared" si="18"/>
        <v/>
      </c>
      <c r="AK271" s="83" t="str">
        <f t="shared" si="19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16"/>
        <v/>
      </c>
      <c r="AE272" s="80" t="str">
        <f t="shared" si="17"/>
        <v/>
      </c>
      <c r="AF272" s="81"/>
      <c r="AG272" s="77"/>
      <c r="AH272" s="81"/>
      <c r="AI272" s="77"/>
      <c r="AJ272" s="82" t="str">
        <f t="shared" si="18"/>
        <v/>
      </c>
      <c r="AK272" s="83" t="str">
        <f t="shared" si="19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16"/>
        <v/>
      </c>
      <c r="AE273" s="80" t="str">
        <f t="shared" si="17"/>
        <v/>
      </c>
      <c r="AF273" s="81"/>
      <c r="AG273" s="77"/>
      <c r="AH273" s="81"/>
      <c r="AI273" s="77"/>
      <c r="AJ273" s="82" t="str">
        <f t="shared" si="18"/>
        <v/>
      </c>
      <c r="AK273" s="83" t="str">
        <f t="shared" si="19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16"/>
        <v/>
      </c>
      <c r="AE274" s="80" t="str">
        <f t="shared" si="17"/>
        <v/>
      </c>
      <c r="AF274" s="81"/>
      <c r="AG274" s="77"/>
      <c r="AH274" s="81"/>
      <c r="AI274" s="77"/>
      <c r="AJ274" s="82" t="str">
        <f t="shared" si="18"/>
        <v/>
      </c>
      <c r="AK274" s="83" t="str">
        <f t="shared" si="19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16"/>
        <v/>
      </c>
      <c r="AE275" s="80" t="str">
        <f t="shared" si="17"/>
        <v/>
      </c>
      <c r="AF275" s="81"/>
      <c r="AG275" s="77"/>
      <c r="AH275" s="81"/>
      <c r="AI275" s="77"/>
      <c r="AJ275" s="82" t="str">
        <f t="shared" si="18"/>
        <v/>
      </c>
      <c r="AK275" s="83" t="str">
        <f t="shared" si="19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16"/>
        <v/>
      </c>
      <c r="AE276" s="80" t="str">
        <f t="shared" si="17"/>
        <v/>
      </c>
      <c r="AF276" s="81"/>
      <c r="AG276" s="77"/>
      <c r="AH276" s="81"/>
      <c r="AI276" s="77"/>
      <c r="AJ276" s="82" t="str">
        <f t="shared" si="18"/>
        <v/>
      </c>
      <c r="AK276" s="83" t="str">
        <f t="shared" si="19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16"/>
        <v/>
      </c>
      <c r="AE277" s="80" t="str">
        <f t="shared" si="17"/>
        <v/>
      </c>
      <c r="AF277" s="81"/>
      <c r="AG277" s="77"/>
      <c r="AH277" s="81"/>
      <c r="AI277" s="77"/>
      <c r="AJ277" s="82" t="str">
        <f t="shared" si="18"/>
        <v/>
      </c>
      <c r="AK277" s="83" t="str">
        <f t="shared" si="19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16"/>
        <v/>
      </c>
      <c r="AE278" s="80" t="str">
        <f t="shared" si="17"/>
        <v/>
      </c>
      <c r="AF278" s="81"/>
      <c r="AG278" s="77"/>
      <c r="AH278" s="81"/>
      <c r="AI278" s="77"/>
      <c r="AJ278" s="82" t="str">
        <f t="shared" si="18"/>
        <v/>
      </c>
      <c r="AK278" s="83" t="str">
        <f t="shared" si="19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16"/>
        <v/>
      </c>
      <c r="AE279" s="80" t="str">
        <f t="shared" si="17"/>
        <v/>
      </c>
      <c r="AF279" s="81"/>
      <c r="AG279" s="77"/>
      <c r="AH279" s="81"/>
      <c r="AI279" s="77"/>
      <c r="AJ279" s="82" t="str">
        <f t="shared" si="18"/>
        <v/>
      </c>
      <c r="AK279" s="83" t="str">
        <f t="shared" si="19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16"/>
        <v/>
      </c>
      <c r="AE280" s="80" t="str">
        <f t="shared" si="17"/>
        <v/>
      </c>
      <c r="AF280" s="81"/>
      <c r="AG280" s="77"/>
      <c r="AH280" s="81"/>
      <c r="AI280" s="77"/>
      <c r="AJ280" s="82" t="str">
        <f t="shared" si="18"/>
        <v/>
      </c>
      <c r="AK280" s="83" t="str">
        <f t="shared" si="19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16"/>
        <v/>
      </c>
      <c r="AE281" s="80" t="str">
        <f t="shared" si="17"/>
        <v/>
      </c>
      <c r="AF281" s="81"/>
      <c r="AG281" s="77"/>
      <c r="AH281" s="81"/>
      <c r="AI281" s="77"/>
      <c r="AJ281" s="82" t="str">
        <f t="shared" si="18"/>
        <v/>
      </c>
      <c r="AK281" s="83" t="str">
        <f t="shared" si="19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16"/>
        <v/>
      </c>
      <c r="AE282" s="80" t="str">
        <f t="shared" si="17"/>
        <v/>
      </c>
      <c r="AF282" s="81"/>
      <c r="AG282" s="77"/>
      <c r="AH282" s="81"/>
      <c r="AI282" s="77"/>
      <c r="AJ282" s="82" t="str">
        <f t="shared" si="18"/>
        <v/>
      </c>
      <c r="AK282" s="83" t="str">
        <f t="shared" si="19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16"/>
        <v/>
      </c>
      <c r="AE283" s="80" t="str">
        <f t="shared" si="17"/>
        <v/>
      </c>
      <c r="AF283" s="81"/>
      <c r="AG283" s="77"/>
      <c r="AH283" s="81"/>
      <c r="AI283" s="77"/>
      <c r="AJ283" s="82" t="str">
        <f t="shared" si="18"/>
        <v/>
      </c>
      <c r="AK283" s="83" t="str">
        <f t="shared" si="19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16"/>
        <v/>
      </c>
      <c r="AE284" s="80" t="str">
        <f t="shared" si="17"/>
        <v/>
      </c>
      <c r="AF284" s="81"/>
      <c r="AG284" s="77"/>
      <c r="AH284" s="81"/>
      <c r="AI284" s="77"/>
      <c r="AJ284" s="82" t="str">
        <f t="shared" si="18"/>
        <v/>
      </c>
      <c r="AK284" s="83" t="str">
        <f t="shared" si="19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16"/>
        <v/>
      </c>
      <c r="AE285" s="80" t="str">
        <f t="shared" si="17"/>
        <v/>
      </c>
      <c r="AF285" s="81"/>
      <c r="AG285" s="77"/>
      <c r="AH285" s="81"/>
      <c r="AI285" s="77"/>
      <c r="AJ285" s="82" t="str">
        <f t="shared" si="18"/>
        <v/>
      </c>
      <c r="AK285" s="83" t="str">
        <f t="shared" si="19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16"/>
        <v/>
      </c>
      <c r="AE286" s="80" t="str">
        <f t="shared" si="17"/>
        <v/>
      </c>
      <c r="AF286" s="81"/>
      <c r="AG286" s="77"/>
      <c r="AH286" s="81"/>
      <c r="AI286" s="77"/>
      <c r="AJ286" s="82" t="str">
        <f t="shared" si="18"/>
        <v/>
      </c>
      <c r="AK286" s="83" t="str">
        <f t="shared" si="19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16"/>
        <v/>
      </c>
      <c r="AE287" s="80" t="str">
        <f t="shared" si="17"/>
        <v/>
      </c>
      <c r="AF287" s="81"/>
      <c r="AG287" s="77"/>
      <c r="AH287" s="81"/>
      <c r="AI287" s="77"/>
      <c r="AJ287" s="82" t="str">
        <f t="shared" si="18"/>
        <v/>
      </c>
      <c r="AK287" s="83" t="str">
        <f t="shared" si="19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16"/>
        <v/>
      </c>
      <c r="AE288" s="80" t="str">
        <f t="shared" si="17"/>
        <v/>
      </c>
      <c r="AF288" s="81"/>
      <c r="AG288" s="77"/>
      <c r="AH288" s="81"/>
      <c r="AI288" s="77"/>
      <c r="AJ288" s="82" t="str">
        <f t="shared" si="18"/>
        <v/>
      </c>
      <c r="AK288" s="83" t="str">
        <f t="shared" si="19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16"/>
        <v/>
      </c>
      <c r="AE289" s="80" t="str">
        <f t="shared" si="17"/>
        <v/>
      </c>
      <c r="AF289" s="81"/>
      <c r="AG289" s="77"/>
      <c r="AH289" s="81"/>
      <c r="AI289" s="77"/>
      <c r="AJ289" s="82" t="str">
        <f t="shared" si="18"/>
        <v/>
      </c>
      <c r="AK289" s="83" t="str">
        <f t="shared" si="19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16"/>
        <v/>
      </c>
      <c r="AE290" s="80" t="str">
        <f t="shared" si="17"/>
        <v/>
      </c>
      <c r="AF290" s="81"/>
      <c r="AG290" s="77"/>
      <c r="AH290" s="81"/>
      <c r="AI290" s="77"/>
      <c r="AJ290" s="82" t="str">
        <f t="shared" si="18"/>
        <v/>
      </c>
      <c r="AK290" s="83" t="str">
        <f t="shared" si="19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16"/>
        <v/>
      </c>
      <c r="AE291" s="80" t="str">
        <f t="shared" si="17"/>
        <v/>
      </c>
      <c r="AF291" s="81"/>
      <c r="AG291" s="77"/>
      <c r="AH291" s="81"/>
      <c r="AI291" s="77"/>
      <c r="AJ291" s="82" t="str">
        <f t="shared" si="18"/>
        <v/>
      </c>
      <c r="AK291" s="83" t="str">
        <f t="shared" si="19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16"/>
        <v/>
      </c>
      <c r="AE292" s="80" t="str">
        <f t="shared" si="17"/>
        <v/>
      </c>
      <c r="AF292" s="81"/>
      <c r="AG292" s="77"/>
      <c r="AH292" s="81"/>
      <c r="AI292" s="77"/>
      <c r="AJ292" s="82" t="str">
        <f t="shared" si="18"/>
        <v/>
      </c>
      <c r="AK292" s="83" t="str">
        <f t="shared" si="19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16"/>
        <v/>
      </c>
      <c r="AE293" s="80" t="str">
        <f t="shared" si="17"/>
        <v/>
      </c>
      <c r="AF293" s="81"/>
      <c r="AG293" s="77"/>
      <c r="AH293" s="81"/>
      <c r="AI293" s="77"/>
      <c r="AJ293" s="82" t="str">
        <f t="shared" si="18"/>
        <v/>
      </c>
      <c r="AK293" s="83" t="str">
        <f t="shared" si="19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16"/>
        <v/>
      </c>
      <c r="AE294" s="80" t="str">
        <f t="shared" si="17"/>
        <v/>
      </c>
      <c r="AF294" s="81"/>
      <c r="AG294" s="77"/>
      <c r="AH294" s="81"/>
      <c r="AI294" s="77"/>
      <c r="AJ294" s="82" t="str">
        <f t="shared" si="18"/>
        <v/>
      </c>
      <c r="AK294" s="83" t="str">
        <f t="shared" si="19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16"/>
        <v/>
      </c>
      <c r="AE295" s="80" t="str">
        <f t="shared" si="17"/>
        <v/>
      </c>
      <c r="AF295" s="81"/>
      <c r="AG295" s="77"/>
      <c r="AH295" s="81"/>
      <c r="AI295" s="77"/>
      <c r="AJ295" s="82" t="str">
        <f t="shared" si="18"/>
        <v/>
      </c>
      <c r="AK295" s="83" t="str">
        <f t="shared" si="19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16"/>
        <v/>
      </c>
      <c r="AE296" s="80" t="str">
        <f t="shared" si="17"/>
        <v/>
      </c>
      <c r="AF296" s="81"/>
      <c r="AG296" s="77"/>
      <c r="AH296" s="81"/>
      <c r="AI296" s="77"/>
      <c r="AJ296" s="82" t="str">
        <f t="shared" si="18"/>
        <v/>
      </c>
      <c r="AK296" s="83" t="str">
        <f t="shared" si="19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16"/>
        <v/>
      </c>
      <c r="AE297" s="80" t="str">
        <f t="shared" si="17"/>
        <v/>
      </c>
      <c r="AF297" s="81"/>
      <c r="AG297" s="77"/>
      <c r="AH297" s="81"/>
      <c r="AI297" s="77"/>
      <c r="AJ297" s="82" t="str">
        <f t="shared" si="18"/>
        <v/>
      </c>
      <c r="AK297" s="83" t="str">
        <f t="shared" si="19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16"/>
        <v/>
      </c>
      <c r="AE298" s="80" t="str">
        <f t="shared" si="17"/>
        <v/>
      </c>
      <c r="AF298" s="81"/>
      <c r="AG298" s="77"/>
      <c r="AH298" s="81"/>
      <c r="AI298" s="77"/>
      <c r="AJ298" s="82" t="str">
        <f t="shared" si="18"/>
        <v/>
      </c>
      <c r="AK298" s="83" t="str">
        <f t="shared" si="19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16"/>
        <v/>
      </c>
      <c r="AE299" s="80" t="str">
        <f t="shared" si="17"/>
        <v/>
      </c>
      <c r="AF299" s="81"/>
      <c r="AG299" s="77"/>
      <c r="AH299" s="81"/>
      <c r="AI299" s="77"/>
      <c r="AJ299" s="82" t="str">
        <f t="shared" si="18"/>
        <v/>
      </c>
      <c r="AK299" s="83" t="str">
        <f t="shared" si="19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16"/>
        <v/>
      </c>
      <c r="AE300" s="80" t="str">
        <f t="shared" si="17"/>
        <v/>
      </c>
      <c r="AF300" s="81"/>
      <c r="AG300" s="77"/>
      <c r="AH300" s="81"/>
      <c r="AI300" s="77"/>
      <c r="AJ300" s="82" t="str">
        <f t="shared" si="18"/>
        <v/>
      </c>
      <c r="AK300" s="83" t="str">
        <f t="shared" si="19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16"/>
        <v/>
      </c>
      <c r="AE301" s="80" t="str">
        <f t="shared" si="17"/>
        <v/>
      </c>
      <c r="AF301" s="81"/>
      <c r="AG301" s="77"/>
      <c r="AH301" s="81"/>
      <c r="AI301" s="77"/>
      <c r="AJ301" s="82" t="str">
        <f t="shared" si="18"/>
        <v/>
      </c>
      <c r="AK301" s="83" t="str">
        <f t="shared" si="19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16"/>
        <v/>
      </c>
      <c r="AE302" s="80" t="str">
        <f t="shared" si="17"/>
        <v/>
      </c>
      <c r="AF302" s="81"/>
      <c r="AG302" s="77"/>
      <c r="AH302" s="81"/>
      <c r="AI302" s="77"/>
      <c r="AJ302" s="82" t="str">
        <f t="shared" si="18"/>
        <v/>
      </c>
      <c r="AK302" s="83" t="str">
        <f t="shared" si="19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16"/>
        <v/>
      </c>
      <c r="AE303" s="80" t="str">
        <f t="shared" si="17"/>
        <v/>
      </c>
      <c r="AF303" s="81"/>
      <c r="AG303" s="77"/>
      <c r="AH303" s="81"/>
      <c r="AI303" s="77"/>
      <c r="AJ303" s="82" t="str">
        <f t="shared" si="18"/>
        <v/>
      </c>
      <c r="AK303" s="83" t="str">
        <f t="shared" si="19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16"/>
        <v/>
      </c>
      <c r="AE304" s="80" t="str">
        <f t="shared" si="17"/>
        <v/>
      </c>
      <c r="AF304" s="81"/>
      <c r="AG304" s="77"/>
      <c r="AH304" s="81"/>
      <c r="AI304" s="77"/>
      <c r="AJ304" s="82" t="str">
        <f t="shared" si="18"/>
        <v/>
      </c>
      <c r="AK304" s="83" t="str">
        <f t="shared" si="19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16"/>
        <v/>
      </c>
      <c r="AE305" s="80" t="str">
        <f t="shared" si="17"/>
        <v/>
      </c>
      <c r="AF305" s="81"/>
      <c r="AG305" s="77"/>
      <c r="AH305" s="81"/>
      <c r="AI305" s="77"/>
      <c r="AJ305" s="82" t="str">
        <f t="shared" si="18"/>
        <v/>
      </c>
      <c r="AK305" s="83" t="str">
        <f t="shared" si="19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16"/>
        <v/>
      </c>
      <c r="AE306" s="80" t="str">
        <f t="shared" si="17"/>
        <v/>
      </c>
      <c r="AF306" s="81"/>
      <c r="AG306" s="77"/>
      <c r="AH306" s="81"/>
      <c r="AI306" s="77"/>
      <c r="AJ306" s="82" t="str">
        <f t="shared" si="18"/>
        <v/>
      </c>
      <c r="AK306" s="83" t="str">
        <f t="shared" si="19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16"/>
        <v/>
      </c>
      <c r="AE307" s="80" t="str">
        <f t="shared" si="17"/>
        <v/>
      </c>
      <c r="AF307" s="81"/>
      <c r="AG307" s="77"/>
      <c r="AH307" s="81"/>
      <c r="AI307" s="77"/>
      <c r="AJ307" s="82" t="str">
        <f t="shared" si="18"/>
        <v/>
      </c>
      <c r="AK307" s="83" t="str">
        <f t="shared" si="19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16"/>
        <v/>
      </c>
      <c r="AE308" s="80" t="str">
        <f t="shared" si="17"/>
        <v/>
      </c>
      <c r="AF308" s="81"/>
      <c r="AG308" s="77"/>
      <c r="AH308" s="81"/>
      <c r="AI308" s="77"/>
      <c r="AJ308" s="82" t="str">
        <f t="shared" si="18"/>
        <v/>
      </c>
      <c r="AK308" s="83" t="str">
        <f t="shared" si="19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16"/>
        <v/>
      </c>
      <c r="AE309" s="80" t="str">
        <f t="shared" si="17"/>
        <v/>
      </c>
      <c r="AF309" s="81"/>
      <c r="AG309" s="77"/>
      <c r="AH309" s="81"/>
      <c r="AI309" s="77"/>
      <c r="AJ309" s="82" t="str">
        <f t="shared" si="18"/>
        <v/>
      </c>
      <c r="AK309" s="83" t="str">
        <f t="shared" si="19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16"/>
        <v/>
      </c>
      <c r="AE310" s="80" t="str">
        <f t="shared" si="17"/>
        <v/>
      </c>
      <c r="AF310" s="81"/>
      <c r="AG310" s="77"/>
      <c r="AH310" s="81"/>
      <c r="AI310" s="77"/>
      <c r="AJ310" s="82" t="str">
        <f t="shared" si="18"/>
        <v/>
      </c>
      <c r="AK310" s="83" t="str">
        <f t="shared" si="19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16"/>
        <v/>
      </c>
      <c r="AE311" s="80" t="str">
        <f t="shared" si="17"/>
        <v/>
      </c>
      <c r="AF311" s="81"/>
      <c r="AG311" s="77"/>
      <c r="AH311" s="81"/>
      <c r="AI311" s="77"/>
      <c r="AJ311" s="82" t="str">
        <f t="shared" si="18"/>
        <v/>
      </c>
      <c r="AK311" s="83" t="str">
        <f t="shared" si="19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16"/>
        <v/>
      </c>
      <c r="AE312" s="80" t="str">
        <f t="shared" si="17"/>
        <v/>
      </c>
      <c r="AF312" s="81"/>
      <c r="AG312" s="77"/>
      <c r="AH312" s="81"/>
      <c r="AI312" s="77"/>
      <c r="AJ312" s="82" t="str">
        <f t="shared" si="18"/>
        <v/>
      </c>
      <c r="AK312" s="83" t="str">
        <f t="shared" si="19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16"/>
        <v/>
      </c>
      <c r="AE313" s="80" t="str">
        <f t="shared" si="17"/>
        <v/>
      </c>
      <c r="AF313" s="81"/>
      <c r="AG313" s="77"/>
      <c r="AH313" s="81"/>
      <c r="AI313" s="77"/>
      <c r="AJ313" s="82" t="str">
        <f t="shared" si="18"/>
        <v/>
      </c>
      <c r="AK313" s="83" t="str">
        <f t="shared" si="19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16"/>
        <v/>
      </c>
      <c r="AE314" s="80" t="str">
        <f t="shared" si="17"/>
        <v/>
      </c>
      <c r="AF314" s="81"/>
      <c r="AG314" s="77"/>
      <c r="AH314" s="81"/>
      <c r="AI314" s="77"/>
      <c r="AJ314" s="82" t="str">
        <f t="shared" si="18"/>
        <v/>
      </c>
      <c r="AK314" s="83" t="str">
        <f t="shared" si="19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16"/>
        <v/>
      </c>
      <c r="AE315" s="80" t="str">
        <f t="shared" si="17"/>
        <v/>
      </c>
      <c r="AF315" s="81"/>
      <c r="AG315" s="77"/>
      <c r="AH315" s="81"/>
      <c r="AI315" s="77"/>
      <c r="AJ315" s="82" t="str">
        <f t="shared" si="18"/>
        <v/>
      </c>
      <c r="AK315" s="83" t="str">
        <f t="shared" si="19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16"/>
        <v/>
      </c>
      <c r="AE316" s="80" t="str">
        <f t="shared" si="17"/>
        <v/>
      </c>
      <c r="AF316" s="81"/>
      <c r="AG316" s="77"/>
      <c r="AH316" s="81"/>
      <c r="AI316" s="77"/>
      <c r="AJ316" s="82" t="str">
        <f t="shared" si="18"/>
        <v/>
      </c>
      <c r="AK316" s="83" t="str">
        <f t="shared" si="19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16"/>
        <v/>
      </c>
      <c r="AE317" s="80" t="str">
        <f t="shared" si="17"/>
        <v/>
      </c>
      <c r="AF317" s="81"/>
      <c r="AG317" s="77"/>
      <c r="AH317" s="81"/>
      <c r="AI317" s="77"/>
      <c r="AJ317" s="82" t="str">
        <f t="shared" si="18"/>
        <v/>
      </c>
      <c r="AK317" s="83" t="str">
        <f t="shared" si="19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16"/>
        <v/>
      </c>
      <c r="AE318" s="80" t="str">
        <f t="shared" si="17"/>
        <v/>
      </c>
      <c r="AF318" s="81"/>
      <c r="AG318" s="77"/>
      <c r="AH318" s="81"/>
      <c r="AI318" s="77"/>
      <c r="AJ318" s="82" t="str">
        <f t="shared" si="18"/>
        <v/>
      </c>
      <c r="AK318" s="83" t="str">
        <f t="shared" si="19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16"/>
        <v/>
      </c>
      <c r="AE319" s="80" t="str">
        <f t="shared" si="17"/>
        <v/>
      </c>
      <c r="AF319" s="81"/>
      <c r="AG319" s="77"/>
      <c r="AH319" s="81"/>
      <c r="AI319" s="77"/>
      <c r="AJ319" s="82" t="str">
        <f t="shared" si="18"/>
        <v/>
      </c>
      <c r="AK319" s="83" t="str">
        <f t="shared" si="19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16"/>
        <v/>
      </c>
      <c r="AE320" s="80" t="str">
        <f t="shared" si="17"/>
        <v/>
      </c>
      <c r="AF320" s="81"/>
      <c r="AG320" s="77"/>
      <c r="AH320" s="81"/>
      <c r="AI320" s="77"/>
      <c r="AJ320" s="82" t="str">
        <f t="shared" si="18"/>
        <v/>
      </c>
      <c r="AK320" s="83" t="str">
        <f t="shared" si="19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16"/>
        <v/>
      </c>
      <c r="AE321" s="80" t="str">
        <f t="shared" si="17"/>
        <v/>
      </c>
      <c r="AF321" s="81"/>
      <c r="AG321" s="77"/>
      <c r="AH321" s="81"/>
      <c r="AI321" s="77"/>
      <c r="AJ321" s="82" t="str">
        <f t="shared" si="18"/>
        <v/>
      </c>
      <c r="AK321" s="83" t="str">
        <f t="shared" si="19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16"/>
        <v/>
      </c>
      <c r="AE322" s="80" t="str">
        <f t="shared" si="17"/>
        <v/>
      </c>
      <c r="AF322" s="81"/>
      <c r="AG322" s="77"/>
      <c r="AH322" s="81"/>
      <c r="AI322" s="77"/>
      <c r="AJ322" s="82" t="str">
        <f t="shared" si="18"/>
        <v/>
      </c>
      <c r="AK322" s="83" t="str">
        <f t="shared" si="19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16"/>
        <v/>
      </c>
      <c r="AE323" s="80" t="str">
        <f t="shared" si="17"/>
        <v/>
      </c>
      <c r="AF323" s="81"/>
      <c r="AG323" s="77"/>
      <c r="AH323" s="81"/>
      <c r="AI323" s="77"/>
      <c r="AJ323" s="82" t="str">
        <f t="shared" si="18"/>
        <v/>
      </c>
      <c r="AK323" s="83" t="str">
        <f t="shared" si="19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0">IF(MIN(F324,J324,N324,R324,V324,Z324)&lt;&gt;0,MIN(F324,J324,N324,R324,V324,Z324),"")</f>
        <v/>
      </c>
      <c r="AE324" s="80" t="str">
        <f t="shared" ref="AE324:AE350" si="21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22">IF(AD324="","",IF(ISBLANK(AF324),"En cours",AD324+AF324))</f>
        <v/>
      </c>
      <c r="AK324" s="83" t="str">
        <f t="shared" ref="AK324:AK350" si="23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0"/>
        <v/>
      </c>
      <c r="AE325" s="80" t="str">
        <f t="shared" si="21"/>
        <v/>
      </c>
      <c r="AF325" s="81"/>
      <c r="AG325" s="77"/>
      <c r="AH325" s="81"/>
      <c r="AI325" s="77"/>
      <c r="AJ325" s="82" t="str">
        <f t="shared" si="22"/>
        <v/>
      </c>
      <c r="AK325" s="83" t="str">
        <f t="shared" si="23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0"/>
        <v/>
      </c>
      <c r="AE326" s="80" t="str">
        <f t="shared" si="21"/>
        <v/>
      </c>
      <c r="AF326" s="81"/>
      <c r="AG326" s="77"/>
      <c r="AH326" s="81"/>
      <c r="AI326" s="77"/>
      <c r="AJ326" s="82" t="str">
        <f t="shared" si="22"/>
        <v/>
      </c>
      <c r="AK326" s="83" t="str">
        <f t="shared" si="23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0"/>
        <v/>
      </c>
      <c r="AE327" s="80" t="str">
        <f t="shared" si="21"/>
        <v/>
      </c>
      <c r="AF327" s="81"/>
      <c r="AG327" s="77"/>
      <c r="AH327" s="81"/>
      <c r="AI327" s="77"/>
      <c r="AJ327" s="82" t="str">
        <f t="shared" si="22"/>
        <v/>
      </c>
      <c r="AK327" s="83" t="str">
        <f t="shared" si="23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0"/>
        <v/>
      </c>
      <c r="AE328" s="80" t="str">
        <f t="shared" si="21"/>
        <v/>
      </c>
      <c r="AF328" s="81"/>
      <c r="AG328" s="77"/>
      <c r="AH328" s="81"/>
      <c r="AI328" s="77"/>
      <c r="AJ328" s="82" t="str">
        <f t="shared" si="22"/>
        <v/>
      </c>
      <c r="AK328" s="83" t="str">
        <f t="shared" si="23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0"/>
        <v/>
      </c>
      <c r="AE329" s="80" t="str">
        <f t="shared" si="21"/>
        <v/>
      </c>
      <c r="AF329" s="81"/>
      <c r="AG329" s="77"/>
      <c r="AH329" s="81"/>
      <c r="AI329" s="77"/>
      <c r="AJ329" s="82" t="str">
        <f t="shared" si="22"/>
        <v/>
      </c>
      <c r="AK329" s="83" t="str">
        <f t="shared" si="23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0"/>
        <v/>
      </c>
      <c r="AE330" s="80" t="str">
        <f t="shared" si="21"/>
        <v/>
      </c>
      <c r="AF330" s="81"/>
      <c r="AG330" s="77"/>
      <c r="AH330" s="81"/>
      <c r="AI330" s="77"/>
      <c r="AJ330" s="82" t="str">
        <f t="shared" si="22"/>
        <v/>
      </c>
      <c r="AK330" s="83" t="str">
        <f t="shared" si="23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0"/>
        <v/>
      </c>
      <c r="AE331" s="80" t="str">
        <f t="shared" si="21"/>
        <v/>
      </c>
      <c r="AF331" s="81"/>
      <c r="AG331" s="77"/>
      <c r="AH331" s="81"/>
      <c r="AI331" s="77"/>
      <c r="AJ331" s="82" t="str">
        <f t="shared" si="22"/>
        <v/>
      </c>
      <c r="AK331" s="83" t="str">
        <f t="shared" si="23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0"/>
        <v/>
      </c>
      <c r="AE332" s="80" t="str">
        <f t="shared" si="21"/>
        <v/>
      </c>
      <c r="AF332" s="81"/>
      <c r="AG332" s="77"/>
      <c r="AH332" s="81"/>
      <c r="AI332" s="77"/>
      <c r="AJ332" s="82" t="str">
        <f t="shared" si="22"/>
        <v/>
      </c>
      <c r="AK332" s="83" t="str">
        <f t="shared" si="23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0"/>
        <v/>
      </c>
      <c r="AE333" s="80" t="str">
        <f t="shared" si="21"/>
        <v/>
      </c>
      <c r="AF333" s="81"/>
      <c r="AG333" s="77"/>
      <c r="AH333" s="81"/>
      <c r="AI333" s="77"/>
      <c r="AJ333" s="82" t="str">
        <f t="shared" si="22"/>
        <v/>
      </c>
      <c r="AK333" s="83" t="str">
        <f t="shared" si="23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0"/>
        <v/>
      </c>
      <c r="AE334" s="80" t="str">
        <f t="shared" si="21"/>
        <v/>
      </c>
      <c r="AF334" s="81"/>
      <c r="AG334" s="77"/>
      <c r="AH334" s="81"/>
      <c r="AI334" s="77"/>
      <c r="AJ334" s="82" t="str">
        <f t="shared" si="22"/>
        <v/>
      </c>
      <c r="AK334" s="83" t="str">
        <f t="shared" si="23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0"/>
        <v/>
      </c>
      <c r="AE335" s="80" t="str">
        <f t="shared" si="21"/>
        <v/>
      </c>
      <c r="AF335" s="81"/>
      <c r="AG335" s="77"/>
      <c r="AH335" s="81"/>
      <c r="AI335" s="77"/>
      <c r="AJ335" s="82" t="str">
        <f t="shared" si="22"/>
        <v/>
      </c>
      <c r="AK335" s="83" t="str">
        <f t="shared" si="23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0"/>
        <v/>
      </c>
      <c r="AE336" s="80" t="str">
        <f t="shared" si="21"/>
        <v/>
      </c>
      <c r="AF336" s="81"/>
      <c r="AG336" s="77"/>
      <c r="AH336" s="81"/>
      <c r="AI336" s="77"/>
      <c r="AJ336" s="82" t="str">
        <f t="shared" si="22"/>
        <v/>
      </c>
      <c r="AK336" s="83" t="str">
        <f t="shared" si="23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0"/>
        <v/>
      </c>
      <c r="AE337" s="80" t="str">
        <f t="shared" si="21"/>
        <v/>
      </c>
      <c r="AF337" s="81"/>
      <c r="AG337" s="77"/>
      <c r="AH337" s="81"/>
      <c r="AI337" s="77"/>
      <c r="AJ337" s="82" t="str">
        <f t="shared" si="22"/>
        <v/>
      </c>
      <c r="AK337" s="83" t="str">
        <f t="shared" si="23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0"/>
        <v/>
      </c>
      <c r="AE338" s="80" t="str">
        <f t="shared" si="21"/>
        <v/>
      </c>
      <c r="AF338" s="81"/>
      <c r="AG338" s="77"/>
      <c r="AH338" s="81"/>
      <c r="AI338" s="77"/>
      <c r="AJ338" s="82" t="str">
        <f t="shared" si="22"/>
        <v/>
      </c>
      <c r="AK338" s="83" t="str">
        <f t="shared" si="23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0"/>
        <v/>
      </c>
      <c r="AE339" s="80" t="str">
        <f t="shared" si="21"/>
        <v/>
      </c>
      <c r="AF339" s="81"/>
      <c r="AG339" s="77"/>
      <c r="AH339" s="81"/>
      <c r="AI339" s="77"/>
      <c r="AJ339" s="82" t="str">
        <f t="shared" si="22"/>
        <v/>
      </c>
      <c r="AK339" s="83" t="str">
        <f t="shared" si="23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0"/>
        <v/>
      </c>
      <c r="AE340" s="80" t="str">
        <f t="shared" si="21"/>
        <v/>
      </c>
      <c r="AF340" s="81"/>
      <c r="AG340" s="77"/>
      <c r="AH340" s="81"/>
      <c r="AI340" s="77"/>
      <c r="AJ340" s="82" t="str">
        <f t="shared" si="22"/>
        <v/>
      </c>
      <c r="AK340" s="83" t="str">
        <f t="shared" si="23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0"/>
        <v/>
      </c>
      <c r="AE341" s="80" t="str">
        <f t="shared" si="21"/>
        <v/>
      </c>
      <c r="AF341" s="81"/>
      <c r="AG341" s="77"/>
      <c r="AH341" s="81"/>
      <c r="AI341" s="77"/>
      <c r="AJ341" s="82" t="str">
        <f t="shared" si="22"/>
        <v/>
      </c>
      <c r="AK341" s="83" t="str">
        <f t="shared" si="23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0"/>
        <v/>
      </c>
      <c r="AE342" s="80" t="str">
        <f t="shared" si="21"/>
        <v/>
      </c>
      <c r="AF342" s="81"/>
      <c r="AG342" s="77"/>
      <c r="AH342" s="81"/>
      <c r="AI342" s="77"/>
      <c r="AJ342" s="82" t="str">
        <f t="shared" si="22"/>
        <v/>
      </c>
      <c r="AK342" s="83" t="str">
        <f t="shared" si="23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0"/>
        <v/>
      </c>
      <c r="AE343" s="80" t="str">
        <f t="shared" si="21"/>
        <v/>
      </c>
      <c r="AF343" s="81"/>
      <c r="AG343" s="77"/>
      <c r="AH343" s="81"/>
      <c r="AI343" s="77"/>
      <c r="AJ343" s="82" t="str">
        <f t="shared" si="22"/>
        <v/>
      </c>
      <c r="AK343" s="83" t="str">
        <f t="shared" si="23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0"/>
        <v/>
      </c>
      <c r="AE344" s="80" t="str">
        <f t="shared" si="21"/>
        <v/>
      </c>
      <c r="AF344" s="81"/>
      <c r="AG344" s="77"/>
      <c r="AH344" s="81"/>
      <c r="AI344" s="77"/>
      <c r="AJ344" s="82" t="str">
        <f t="shared" si="22"/>
        <v/>
      </c>
      <c r="AK344" s="83" t="str">
        <f t="shared" si="23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0"/>
        <v/>
      </c>
      <c r="AE345" s="80" t="str">
        <f t="shared" si="21"/>
        <v/>
      </c>
      <c r="AF345" s="81"/>
      <c r="AG345" s="77"/>
      <c r="AH345" s="81"/>
      <c r="AI345" s="77"/>
      <c r="AJ345" s="82" t="str">
        <f t="shared" si="22"/>
        <v/>
      </c>
      <c r="AK345" s="83" t="str">
        <f t="shared" si="23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0"/>
        <v/>
      </c>
      <c r="AE346" s="80" t="str">
        <f t="shared" si="21"/>
        <v/>
      </c>
      <c r="AF346" s="81"/>
      <c r="AG346" s="77"/>
      <c r="AH346" s="81"/>
      <c r="AI346" s="77"/>
      <c r="AJ346" s="82" t="str">
        <f t="shared" si="22"/>
        <v/>
      </c>
      <c r="AK346" s="83" t="str">
        <f t="shared" si="23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0"/>
        <v/>
      </c>
      <c r="AE347" s="80" t="str">
        <f t="shared" si="21"/>
        <v/>
      </c>
      <c r="AF347" s="81"/>
      <c r="AG347" s="77"/>
      <c r="AH347" s="81"/>
      <c r="AI347" s="77"/>
      <c r="AJ347" s="82" t="str">
        <f t="shared" si="22"/>
        <v/>
      </c>
      <c r="AK347" s="83" t="str">
        <f t="shared" si="23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0"/>
        <v/>
      </c>
      <c r="AE348" s="80" t="str">
        <f t="shared" si="21"/>
        <v/>
      </c>
      <c r="AF348" s="81"/>
      <c r="AG348" s="77"/>
      <c r="AH348" s="81"/>
      <c r="AI348" s="77"/>
      <c r="AJ348" s="82" t="str">
        <f t="shared" si="22"/>
        <v/>
      </c>
      <c r="AK348" s="83" t="str">
        <f t="shared" si="23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0"/>
        <v/>
      </c>
      <c r="AE349" s="80" t="str">
        <f t="shared" si="21"/>
        <v/>
      </c>
      <c r="AF349" s="81"/>
      <c r="AG349" s="77"/>
      <c r="AH349" s="81"/>
      <c r="AI349" s="77"/>
      <c r="AJ349" s="82" t="str">
        <f t="shared" si="22"/>
        <v/>
      </c>
      <c r="AK349" s="83" t="str">
        <f t="shared" si="23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0"/>
        <v/>
      </c>
      <c r="AE350" s="80" t="str">
        <f t="shared" si="21"/>
        <v/>
      </c>
      <c r="AF350" s="81"/>
      <c r="AG350" s="77"/>
      <c r="AH350" s="81"/>
      <c r="AI350" s="77"/>
      <c r="AJ350" s="82" t="str">
        <f t="shared" si="22"/>
        <v/>
      </c>
      <c r="AK350" s="83" t="str">
        <f t="shared" si="23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0">
    <cfRule type="cellIs" dxfId="131" priority="8497" stopIfTrue="1" operator="equal">
      <formula>"En cours"</formula>
    </cfRule>
  </conditionalFormatting>
  <conditionalFormatting sqref="AJ30">
    <cfRule type="cellIs" dxfId="130" priority="8498" stopIfTrue="1" operator="notEqual">
      <formula>"En cours"</formula>
    </cfRule>
  </conditionalFormatting>
  <conditionalFormatting sqref="AK30">
    <cfRule type="cellIs" dxfId="129" priority="8499" stopIfTrue="1" operator="equal">
      <formula>"En cours"</formula>
    </cfRule>
  </conditionalFormatting>
  <conditionalFormatting sqref="AK30">
    <cfRule type="cellIs" dxfId="128" priority="8500" stopIfTrue="1" operator="notEqual">
      <formula>"En cours"</formula>
    </cfRule>
  </conditionalFormatting>
  <conditionalFormatting sqref="AJ36">
    <cfRule type="cellIs" dxfId="127" priority="8633" stopIfTrue="1" operator="equal">
      <formula>"En cours"</formula>
    </cfRule>
    <cfRule type="cellIs" dxfId="126" priority="8634" stopIfTrue="1" operator="notEqual">
      <formula>"En cours"</formula>
    </cfRule>
  </conditionalFormatting>
  <conditionalFormatting sqref="AK36">
    <cfRule type="cellIs" dxfId="125" priority="8635" stopIfTrue="1" operator="equal">
      <formula>"En cours"</formula>
    </cfRule>
    <cfRule type="cellIs" dxfId="124" priority="8636" stopIfTrue="1" operator="notEqual">
      <formula>"En cours"</formula>
    </cfRule>
  </conditionalFormatting>
  <conditionalFormatting sqref="AJ35">
    <cfRule type="cellIs" dxfId="123" priority="8637" stopIfTrue="1" operator="equal">
      <formula>"En cours"</formula>
    </cfRule>
  </conditionalFormatting>
  <conditionalFormatting sqref="AJ35">
    <cfRule type="cellIs" dxfId="122" priority="8638" stopIfTrue="1" operator="notEqual">
      <formula>"En cours"</formula>
    </cfRule>
  </conditionalFormatting>
  <conditionalFormatting sqref="AK35">
    <cfRule type="cellIs" dxfId="121" priority="8639" stopIfTrue="1" operator="equal">
      <formula>"En cours"</formula>
    </cfRule>
  </conditionalFormatting>
  <conditionalFormatting sqref="AK35">
    <cfRule type="cellIs" dxfId="120" priority="8640" stopIfTrue="1" operator="notEqual">
      <formula>"En cours"</formula>
    </cfRule>
  </conditionalFormatting>
  <conditionalFormatting sqref="AJ33">
    <cfRule type="cellIs" dxfId="119" priority="8641" stopIfTrue="1" operator="equal">
      <formula>"En cours"</formula>
    </cfRule>
  </conditionalFormatting>
  <conditionalFormatting sqref="AJ33">
    <cfRule type="cellIs" dxfId="118" priority="8642" stopIfTrue="1" operator="notEqual">
      <formula>"En cours"</formula>
    </cfRule>
  </conditionalFormatting>
  <conditionalFormatting sqref="AK33">
    <cfRule type="cellIs" dxfId="117" priority="8643" stopIfTrue="1" operator="equal">
      <formula>"En cours"</formula>
    </cfRule>
  </conditionalFormatting>
  <conditionalFormatting sqref="AK33">
    <cfRule type="cellIs" dxfId="116" priority="8644" stopIfTrue="1" operator="notEqual">
      <formula>"En cours"</formula>
    </cfRule>
  </conditionalFormatting>
  <conditionalFormatting sqref="AJ29">
    <cfRule type="cellIs" dxfId="115" priority="8693" stopIfTrue="1" operator="equal">
      <formula>"En cours"</formula>
    </cfRule>
  </conditionalFormatting>
  <conditionalFormatting sqref="AJ29">
    <cfRule type="cellIs" dxfId="114" priority="8694" stopIfTrue="1" operator="notEqual">
      <formula>"En cours"</formula>
    </cfRule>
  </conditionalFormatting>
  <conditionalFormatting sqref="AK29">
    <cfRule type="cellIs" dxfId="113" priority="8695" stopIfTrue="1" operator="equal">
      <formula>"En cours"</formula>
    </cfRule>
  </conditionalFormatting>
  <conditionalFormatting sqref="AK29">
    <cfRule type="cellIs" dxfId="112" priority="8696" stopIfTrue="1" operator="notEqual">
      <formula>"En cours"</formula>
    </cfRule>
  </conditionalFormatting>
  <conditionalFormatting sqref="AJ32">
    <cfRule type="cellIs" dxfId="111" priority="8697" stopIfTrue="1" operator="equal">
      <formula>"En cours"</formula>
    </cfRule>
  </conditionalFormatting>
  <conditionalFormatting sqref="AJ32">
    <cfRule type="cellIs" dxfId="110" priority="8698" stopIfTrue="1" operator="notEqual">
      <formula>"En cours"</formula>
    </cfRule>
  </conditionalFormatting>
  <conditionalFormatting sqref="AK32">
    <cfRule type="cellIs" dxfId="109" priority="8699" stopIfTrue="1" operator="equal">
      <formula>"En cours"</formula>
    </cfRule>
  </conditionalFormatting>
  <conditionalFormatting sqref="AK32">
    <cfRule type="cellIs" dxfId="108" priority="8700" stopIfTrue="1" operator="notEqual">
      <formula>"En cours"</formula>
    </cfRule>
  </conditionalFormatting>
  <conditionalFormatting sqref="AJ31">
    <cfRule type="cellIs" dxfId="107" priority="8701" stopIfTrue="1" operator="equal">
      <formula>"En cours"</formula>
    </cfRule>
  </conditionalFormatting>
  <conditionalFormatting sqref="AJ31">
    <cfRule type="cellIs" dxfId="106" priority="8702" stopIfTrue="1" operator="notEqual">
      <formula>"En cours"</formula>
    </cfRule>
  </conditionalFormatting>
  <conditionalFormatting sqref="AK31">
    <cfRule type="cellIs" dxfId="105" priority="8703" stopIfTrue="1" operator="equal">
      <formula>"En cours"</formula>
    </cfRule>
  </conditionalFormatting>
  <conditionalFormatting sqref="AK31">
    <cfRule type="cellIs" dxfId="104" priority="8704" stopIfTrue="1" operator="notEqual">
      <formula>"En cours"</formula>
    </cfRule>
  </conditionalFormatting>
  <conditionalFormatting sqref="AJ27">
    <cfRule type="cellIs" dxfId="103" priority="8705" stopIfTrue="1" operator="equal">
      <formula>"En cours"</formula>
    </cfRule>
  </conditionalFormatting>
  <conditionalFormatting sqref="AJ27">
    <cfRule type="cellIs" dxfId="102" priority="8706" stopIfTrue="1" operator="notEqual">
      <formula>"En cours"</formula>
    </cfRule>
  </conditionalFormatting>
  <conditionalFormatting sqref="AK27">
    <cfRule type="cellIs" dxfId="101" priority="8707" stopIfTrue="1" operator="equal">
      <formula>"En cours"</formula>
    </cfRule>
  </conditionalFormatting>
  <conditionalFormatting sqref="AK27">
    <cfRule type="cellIs" dxfId="100" priority="8708" stopIfTrue="1" operator="notEqual">
      <formula>"En cours"</formula>
    </cfRule>
  </conditionalFormatting>
  <conditionalFormatting sqref="AJ34">
    <cfRule type="cellIs" dxfId="99" priority="8717" stopIfTrue="1" operator="equal">
      <formula>"En cours"</formula>
    </cfRule>
  </conditionalFormatting>
  <conditionalFormatting sqref="AJ34">
    <cfRule type="cellIs" dxfId="98" priority="8718" stopIfTrue="1" operator="notEqual">
      <formula>"En cours"</formula>
    </cfRule>
  </conditionalFormatting>
  <conditionalFormatting sqref="AK34">
    <cfRule type="cellIs" dxfId="97" priority="8719" stopIfTrue="1" operator="equal">
      <formula>"En cours"</formula>
    </cfRule>
  </conditionalFormatting>
  <conditionalFormatting sqref="AK34">
    <cfRule type="cellIs" dxfId="96" priority="8720" stopIfTrue="1" operator="notEqual">
      <formula>"En cours"</formula>
    </cfRule>
  </conditionalFormatting>
  <conditionalFormatting sqref="AJ28">
    <cfRule type="cellIs" dxfId="95" priority="8725" stopIfTrue="1" operator="equal">
      <formula>"En cours"</formula>
    </cfRule>
  </conditionalFormatting>
  <conditionalFormatting sqref="AJ28">
    <cfRule type="cellIs" dxfId="94" priority="8726" stopIfTrue="1" operator="notEqual">
      <formula>"En cours"</formula>
    </cfRule>
  </conditionalFormatting>
  <conditionalFormatting sqref="AK28">
    <cfRule type="cellIs" dxfId="93" priority="8727" stopIfTrue="1" operator="equal">
      <formula>"En cours"</formula>
    </cfRule>
  </conditionalFormatting>
  <conditionalFormatting sqref="AK28">
    <cfRule type="cellIs" dxfId="92" priority="8728" stopIfTrue="1" operator="notEqual">
      <formula>"En cours"</formula>
    </cfRule>
  </conditionalFormatting>
  <conditionalFormatting sqref="AJ23">
    <cfRule type="cellIs" dxfId="91" priority="12397" stopIfTrue="1" operator="equal">
      <formula>"En cours"</formula>
    </cfRule>
  </conditionalFormatting>
  <conditionalFormatting sqref="AJ23">
    <cfRule type="cellIs" dxfId="90" priority="12398" stopIfTrue="1" operator="notEqual">
      <formula>"En cours"</formula>
    </cfRule>
  </conditionalFormatting>
  <conditionalFormatting sqref="AK23">
    <cfRule type="cellIs" dxfId="89" priority="12399" stopIfTrue="1" operator="equal">
      <formula>"En cours"</formula>
    </cfRule>
  </conditionalFormatting>
  <conditionalFormatting sqref="AK23">
    <cfRule type="cellIs" dxfId="88" priority="12400" stopIfTrue="1" operator="notEqual">
      <formula>"En cours"</formula>
    </cfRule>
  </conditionalFormatting>
  <conditionalFormatting sqref="AJ25">
    <cfRule type="cellIs" dxfId="87" priority="12429" stopIfTrue="1" operator="equal">
      <formula>"En cours"</formula>
    </cfRule>
  </conditionalFormatting>
  <conditionalFormatting sqref="AJ25">
    <cfRule type="cellIs" dxfId="86" priority="12430" stopIfTrue="1" operator="notEqual">
      <formula>"En cours"</formula>
    </cfRule>
  </conditionalFormatting>
  <conditionalFormatting sqref="AK25">
    <cfRule type="cellIs" dxfId="85" priority="12431" stopIfTrue="1" operator="equal">
      <formula>"En cours"</formula>
    </cfRule>
  </conditionalFormatting>
  <conditionalFormatting sqref="AK25">
    <cfRule type="cellIs" dxfId="84" priority="12432" stopIfTrue="1" operator="notEqual">
      <formula>"En cours"</formula>
    </cfRule>
  </conditionalFormatting>
  <conditionalFormatting sqref="AJ26">
    <cfRule type="cellIs" dxfId="83" priority="12573" stopIfTrue="1" operator="equal">
      <formula>"En cours"</formula>
    </cfRule>
    <cfRule type="cellIs" dxfId="82" priority="12574" stopIfTrue="1" operator="notEqual">
      <formula>"En cours"</formula>
    </cfRule>
  </conditionalFormatting>
  <conditionalFormatting sqref="AK26">
    <cfRule type="cellIs" dxfId="81" priority="12575" stopIfTrue="1" operator="equal">
      <formula>"En cours"</formula>
    </cfRule>
    <cfRule type="cellIs" dxfId="80" priority="12576" stopIfTrue="1" operator="notEqual">
      <formula>"En cours"</formula>
    </cfRule>
  </conditionalFormatting>
  <conditionalFormatting sqref="AJ22">
    <cfRule type="cellIs" dxfId="79" priority="12597" stopIfTrue="1" operator="equal">
      <formula>"En cours"</formula>
    </cfRule>
  </conditionalFormatting>
  <conditionalFormatting sqref="AJ22">
    <cfRule type="cellIs" dxfId="78" priority="12598" stopIfTrue="1" operator="notEqual">
      <formula>"En cours"</formula>
    </cfRule>
  </conditionalFormatting>
  <conditionalFormatting sqref="AK22">
    <cfRule type="cellIs" dxfId="77" priority="12599" stopIfTrue="1" operator="equal">
      <formula>"En cours"</formula>
    </cfRule>
  </conditionalFormatting>
  <conditionalFormatting sqref="AK22">
    <cfRule type="cellIs" dxfId="76" priority="12600" stopIfTrue="1" operator="notEqual">
      <formula>"En cours"</formula>
    </cfRule>
  </conditionalFormatting>
  <conditionalFormatting sqref="AJ24">
    <cfRule type="cellIs" dxfId="75" priority="12641" stopIfTrue="1" operator="equal">
      <formula>"En cours"</formula>
    </cfRule>
  </conditionalFormatting>
  <conditionalFormatting sqref="AJ24">
    <cfRule type="cellIs" dxfId="74" priority="12642" stopIfTrue="1" operator="notEqual">
      <formula>"En cours"</formula>
    </cfRule>
  </conditionalFormatting>
  <conditionalFormatting sqref="AK24">
    <cfRule type="cellIs" dxfId="73" priority="12643" stopIfTrue="1" operator="equal">
      <formula>"En cours"</formula>
    </cfRule>
  </conditionalFormatting>
  <conditionalFormatting sqref="AK24">
    <cfRule type="cellIs" dxfId="72" priority="12644" stopIfTrue="1" operator="notEqual">
      <formula>"En cours"</formula>
    </cfRule>
  </conditionalFormatting>
  <conditionalFormatting sqref="AJ9">
    <cfRule type="cellIs" dxfId="71" priority="12797" stopIfTrue="1" operator="equal">
      <formula>"En cours"</formula>
    </cfRule>
  </conditionalFormatting>
  <conditionalFormatting sqref="AJ9">
    <cfRule type="cellIs" dxfId="70" priority="12798" stopIfTrue="1" operator="notEqual">
      <formula>"En cours"</formula>
    </cfRule>
  </conditionalFormatting>
  <conditionalFormatting sqref="AK9">
    <cfRule type="cellIs" dxfId="69" priority="12799" stopIfTrue="1" operator="equal">
      <formula>"En cours"</formula>
    </cfRule>
  </conditionalFormatting>
  <conditionalFormatting sqref="AK9">
    <cfRule type="cellIs" dxfId="68" priority="12800" stopIfTrue="1" operator="notEqual">
      <formula>"En cours"</formula>
    </cfRule>
  </conditionalFormatting>
  <conditionalFormatting sqref="AJ10">
    <cfRule type="cellIs" dxfId="67" priority="12801" stopIfTrue="1" operator="equal">
      <formula>"En cours"</formula>
    </cfRule>
  </conditionalFormatting>
  <conditionalFormatting sqref="AJ10">
    <cfRule type="cellIs" dxfId="66" priority="12802" stopIfTrue="1" operator="notEqual">
      <formula>"En cours"</formula>
    </cfRule>
  </conditionalFormatting>
  <conditionalFormatting sqref="AK10">
    <cfRule type="cellIs" dxfId="65" priority="12803" stopIfTrue="1" operator="equal">
      <formula>"En cours"</formula>
    </cfRule>
  </conditionalFormatting>
  <conditionalFormatting sqref="AK10">
    <cfRule type="cellIs" dxfId="64" priority="12804" stopIfTrue="1" operator="notEqual">
      <formula>"En cours"</formula>
    </cfRule>
  </conditionalFormatting>
  <conditionalFormatting sqref="AJ11">
    <cfRule type="cellIs" dxfId="63" priority="12809" stopIfTrue="1" operator="equal">
      <formula>"En cours"</formula>
    </cfRule>
  </conditionalFormatting>
  <conditionalFormatting sqref="AJ11">
    <cfRule type="cellIs" dxfId="62" priority="12810" stopIfTrue="1" operator="notEqual">
      <formula>"En cours"</formula>
    </cfRule>
  </conditionalFormatting>
  <conditionalFormatting sqref="AK11">
    <cfRule type="cellIs" dxfId="61" priority="12811" stopIfTrue="1" operator="equal">
      <formula>"En cours"</formula>
    </cfRule>
  </conditionalFormatting>
  <conditionalFormatting sqref="AK11">
    <cfRule type="cellIs" dxfId="60" priority="12812" stopIfTrue="1" operator="notEqual">
      <formula>"En cours"</formula>
    </cfRule>
  </conditionalFormatting>
  <conditionalFormatting sqref="AJ12">
    <cfRule type="cellIs" dxfId="59" priority="12813" stopIfTrue="1" operator="equal">
      <formula>"En cours"</formula>
    </cfRule>
  </conditionalFormatting>
  <conditionalFormatting sqref="AJ12">
    <cfRule type="cellIs" dxfId="58" priority="12814" stopIfTrue="1" operator="notEqual">
      <formula>"En cours"</formula>
    </cfRule>
  </conditionalFormatting>
  <conditionalFormatting sqref="AK12">
    <cfRule type="cellIs" dxfId="57" priority="12815" stopIfTrue="1" operator="equal">
      <formula>"En cours"</formula>
    </cfRule>
  </conditionalFormatting>
  <conditionalFormatting sqref="AK12">
    <cfRule type="cellIs" dxfId="56" priority="12816" stopIfTrue="1" operator="notEqual">
      <formula>"En cours"</formula>
    </cfRule>
  </conditionalFormatting>
  <conditionalFormatting sqref="AJ15">
    <cfRule type="cellIs" dxfId="55" priority="12817" stopIfTrue="1" operator="equal">
      <formula>"En cours"</formula>
    </cfRule>
  </conditionalFormatting>
  <conditionalFormatting sqref="AJ15">
    <cfRule type="cellIs" dxfId="54" priority="12818" stopIfTrue="1" operator="notEqual">
      <formula>"En cours"</formula>
    </cfRule>
  </conditionalFormatting>
  <conditionalFormatting sqref="AK15">
    <cfRule type="cellIs" dxfId="53" priority="12819" stopIfTrue="1" operator="equal">
      <formula>"En cours"</formula>
    </cfRule>
  </conditionalFormatting>
  <conditionalFormatting sqref="AK15">
    <cfRule type="cellIs" dxfId="52" priority="12820" stopIfTrue="1" operator="notEqual">
      <formula>"En cours"</formula>
    </cfRule>
  </conditionalFormatting>
  <conditionalFormatting sqref="AJ14">
    <cfRule type="cellIs" dxfId="51" priority="12821" stopIfTrue="1" operator="equal">
      <formula>"En cours"</formula>
    </cfRule>
  </conditionalFormatting>
  <conditionalFormatting sqref="AJ14">
    <cfRule type="cellIs" dxfId="50" priority="12822" stopIfTrue="1" operator="notEqual">
      <formula>"En cours"</formula>
    </cfRule>
  </conditionalFormatting>
  <conditionalFormatting sqref="AK14">
    <cfRule type="cellIs" dxfId="49" priority="12823" stopIfTrue="1" operator="equal">
      <formula>"En cours"</formula>
    </cfRule>
  </conditionalFormatting>
  <conditionalFormatting sqref="AK14">
    <cfRule type="cellIs" dxfId="48" priority="12824" stopIfTrue="1" operator="notEqual">
      <formula>"En cours"</formula>
    </cfRule>
  </conditionalFormatting>
  <conditionalFormatting sqref="AJ13">
    <cfRule type="cellIs" dxfId="47" priority="12825" stopIfTrue="1" operator="equal">
      <formula>"En cours"</formula>
    </cfRule>
  </conditionalFormatting>
  <conditionalFormatting sqref="AJ13">
    <cfRule type="cellIs" dxfId="46" priority="12826" stopIfTrue="1" operator="notEqual">
      <formula>"En cours"</formula>
    </cfRule>
  </conditionalFormatting>
  <conditionalFormatting sqref="AK13">
    <cfRule type="cellIs" dxfId="45" priority="12827" stopIfTrue="1" operator="equal">
      <formula>"En cours"</formula>
    </cfRule>
  </conditionalFormatting>
  <conditionalFormatting sqref="AK13">
    <cfRule type="cellIs" dxfId="44" priority="12828" stopIfTrue="1" operator="notEqual">
      <formula>"En cours"</formula>
    </cfRule>
  </conditionalFormatting>
  <conditionalFormatting sqref="AJ18">
    <cfRule type="cellIs" dxfId="43" priority="12829" stopIfTrue="1" operator="equal">
      <formula>"En cours"</formula>
    </cfRule>
  </conditionalFormatting>
  <conditionalFormatting sqref="AJ18">
    <cfRule type="cellIs" dxfId="42" priority="12830" stopIfTrue="1" operator="notEqual">
      <formula>"En cours"</formula>
    </cfRule>
  </conditionalFormatting>
  <conditionalFormatting sqref="AK18">
    <cfRule type="cellIs" dxfId="41" priority="12831" stopIfTrue="1" operator="equal">
      <formula>"En cours"</formula>
    </cfRule>
  </conditionalFormatting>
  <conditionalFormatting sqref="AK18">
    <cfRule type="cellIs" dxfId="40" priority="12832" stopIfTrue="1" operator="notEqual">
      <formula>"En cours"</formula>
    </cfRule>
  </conditionalFormatting>
  <conditionalFormatting sqref="AJ17">
    <cfRule type="cellIs" dxfId="39" priority="12833" stopIfTrue="1" operator="equal">
      <formula>"En cours"</formula>
    </cfRule>
  </conditionalFormatting>
  <conditionalFormatting sqref="AJ17">
    <cfRule type="cellIs" dxfId="38" priority="12834" stopIfTrue="1" operator="notEqual">
      <formula>"En cours"</formula>
    </cfRule>
  </conditionalFormatting>
  <conditionalFormatting sqref="AK17">
    <cfRule type="cellIs" dxfId="37" priority="12835" stopIfTrue="1" operator="equal">
      <formula>"En cours"</formula>
    </cfRule>
  </conditionalFormatting>
  <conditionalFormatting sqref="AK17">
    <cfRule type="cellIs" dxfId="36" priority="12836" stopIfTrue="1" operator="notEqual">
      <formula>"En cours"</formula>
    </cfRule>
  </conditionalFormatting>
  <conditionalFormatting sqref="AJ16">
    <cfRule type="cellIs" dxfId="35" priority="12837" stopIfTrue="1" operator="equal">
      <formula>"En cours"</formula>
    </cfRule>
  </conditionalFormatting>
  <conditionalFormatting sqref="AJ16">
    <cfRule type="cellIs" dxfId="34" priority="12838" stopIfTrue="1" operator="notEqual">
      <formula>"En cours"</formula>
    </cfRule>
  </conditionalFormatting>
  <conditionalFormatting sqref="AK16">
    <cfRule type="cellIs" dxfId="33" priority="12839" stopIfTrue="1" operator="equal">
      <formula>"En cours"</formula>
    </cfRule>
  </conditionalFormatting>
  <conditionalFormatting sqref="AK16">
    <cfRule type="cellIs" dxfId="32" priority="12840" stopIfTrue="1" operator="notEqual">
      <formula>"En cours"</formula>
    </cfRule>
  </conditionalFormatting>
  <conditionalFormatting sqref="AJ20">
    <cfRule type="cellIs" dxfId="31" priority="12841" stopIfTrue="1" operator="equal">
      <formula>"En cours"</formula>
    </cfRule>
  </conditionalFormatting>
  <conditionalFormatting sqref="AJ20">
    <cfRule type="cellIs" dxfId="30" priority="12842" stopIfTrue="1" operator="notEqual">
      <formula>"En cours"</formula>
    </cfRule>
  </conditionalFormatting>
  <conditionalFormatting sqref="AK20">
    <cfRule type="cellIs" dxfId="29" priority="12843" stopIfTrue="1" operator="equal">
      <formula>"En cours"</formula>
    </cfRule>
  </conditionalFormatting>
  <conditionalFormatting sqref="AK20">
    <cfRule type="cellIs" dxfId="28" priority="12844" stopIfTrue="1" operator="notEqual">
      <formula>"En cours"</formula>
    </cfRule>
  </conditionalFormatting>
  <conditionalFormatting sqref="AJ19">
    <cfRule type="cellIs" dxfId="27" priority="12845" stopIfTrue="1" operator="equal">
      <formula>"En cours"</formula>
    </cfRule>
  </conditionalFormatting>
  <conditionalFormatting sqref="AJ19">
    <cfRule type="cellIs" dxfId="26" priority="12846" stopIfTrue="1" operator="notEqual">
      <formula>"En cours"</formula>
    </cfRule>
  </conditionalFormatting>
  <conditionalFormatting sqref="AK19">
    <cfRule type="cellIs" dxfId="25" priority="12847" stopIfTrue="1" operator="equal">
      <formula>"En cours"</formula>
    </cfRule>
  </conditionalFormatting>
  <conditionalFormatting sqref="AK19">
    <cfRule type="cellIs" dxfId="24" priority="12848" stopIfTrue="1" operator="notEqual">
      <formula>"En cours"</formula>
    </cfRule>
  </conditionalFormatting>
  <conditionalFormatting sqref="AJ21">
    <cfRule type="cellIs" dxfId="23" priority="12849" stopIfTrue="1" operator="equal">
      <formula>"En cours"</formula>
    </cfRule>
  </conditionalFormatting>
  <conditionalFormatting sqref="AJ21">
    <cfRule type="cellIs" dxfId="22" priority="12850" stopIfTrue="1" operator="notEqual">
      <formula>"En cours"</formula>
    </cfRule>
  </conditionalFormatting>
  <conditionalFormatting sqref="AK21">
    <cfRule type="cellIs" dxfId="21" priority="12851" stopIfTrue="1" operator="equal">
      <formula>"En cours"</formula>
    </cfRule>
  </conditionalFormatting>
  <conditionalFormatting sqref="AK21">
    <cfRule type="cellIs" dxfId="20" priority="12852" stopIfTrue="1" operator="notEqual">
      <formula>"En cours"</formula>
    </cfRule>
  </conditionalFormatting>
  <conditionalFormatting sqref="AJ5">
    <cfRule type="cellIs" dxfId="19" priority="12937" stopIfTrue="1" operator="equal">
      <formula>"En cours"</formula>
    </cfRule>
    <cfRule type="cellIs" dxfId="18" priority="12938" stopIfTrue="1" operator="notEqual">
      <formula>"En cours"</formula>
    </cfRule>
  </conditionalFormatting>
  <conditionalFormatting sqref="AK5">
    <cfRule type="cellIs" dxfId="17" priority="12939" stopIfTrue="1" operator="equal">
      <formula>"En cours"</formula>
    </cfRule>
    <cfRule type="cellIs" dxfId="16" priority="12940" stopIfTrue="1" operator="notEqual">
      <formula>"En cours"</formula>
    </cfRule>
  </conditionalFormatting>
  <conditionalFormatting sqref="AJ6">
    <cfRule type="cellIs" dxfId="15" priority="12941" stopIfTrue="1" operator="equal">
      <formula>"En cours"</formula>
    </cfRule>
    <cfRule type="cellIs" dxfId="14" priority="12942" stopIfTrue="1" operator="notEqual">
      <formula>"En cours"</formula>
    </cfRule>
  </conditionalFormatting>
  <conditionalFormatting sqref="AK6">
    <cfRule type="cellIs" dxfId="13" priority="12943" stopIfTrue="1" operator="equal">
      <formula>"En cours"</formula>
    </cfRule>
    <cfRule type="cellIs" dxfId="12" priority="12944" stopIfTrue="1" operator="notEqual">
      <formula>"En cours"</formula>
    </cfRule>
  </conditionalFormatting>
  <conditionalFormatting sqref="AJ4">
    <cfRule type="cellIs" dxfId="11" priority="12945" stopIfTrue="1" operator="equal">
      <formula>"En cours"</formula>
    </cfRule>
    <cfRule type="cellIs" dxfId="10" priority="12946" stopIfTrue="1" operator="notEqual">
      <formula>"En cours"</formula>
    </cfRule>
  </conditionalFormatting>
  <conditionalFormatting sqref="AK4">
    <cfRule type="cellIs" dxfId="9" priority="12947" stopIfTrue="1" operator="equal">
      <formula>"En cours"</formula>
    </cfRule>
    <cfRule type="cellIs" dxfId="8" priority="12948" stopIfTrue="1" operator="notEqual">
      <formula>"En cours"</formula>
    </cfRule>
  </conditionalFormatting>
  <conditionalFormatting sqref="AJ7">
    <cfRule type="cellIs" dxfId="7" priority="12949" stopIfTrue="1" operator="equal">
      <formula>"En cours"</formula>
    </cfRule>
  </conditionalFormatting>
  <conditionalFormatting sqref="AJ7">
    <cfRule type="cellIs" dxfId="6" priority="12950" stopIfTrue="1" operator="notEqual">
      <formula>"En cours"</formula>
    </cfRule>
  </conditionalFormatting>
  <conditionalFormatting sqref="AK7">
    <cfRule type="cellIs" dxfId="5" priority="12951" stopIfTrue="1" operator="equal">
      <formula>"En cours"</formula>
    </cfRule>
  </conditionalFormatting>
  <conditionalFormatting sqref="AK7">
    <cfRule type="cellIs" dxfId="4" priority="12952" stopIfTrue="1" operator="notEqual">
      <formula>"En cours"</formula>
    </cfRule>
  </conditionalFormatting>
  <conditionalFormatting sqref="AJ8">
    <cfRule type="cellIs" dxfId="3" priority="12953" stopIfTrue="1" operator="equal">
      <formula>"En cours"</formula>
    </cfRule>
  </conditionalFormatting>
  <conditionalFormatting sqref="AJ8">
    <cfRule type="cellIs" dxfId="2" priority="12954" stopIfTrue="1" operator="notEqual">
      <formula>"En cours"</formula>
    </cfRule>
  </conditionalFormatting>
  <conditionalFormatting sqref="AK8">
    <cfRule type="cellIs" dxfId="1" priority="12955" stopIfTrue="1" operator="equal">
      <formula>"En cours"</formula>
    </cfRule>
  </conditionalFormatting>
  <conditionalFormatting sqref="AK8">
    <cfRule type="cellIs" dxfId="0" priority="1295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workbookViewId="0">
      <pane ySplit="4" topLeftCell="A5" activePane="bottomLeft" state="frozen"/>
      <selection pane="bottomLeft" activeCell="C18" sqref="C1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71</v>
      </c>
      <c r="C4" s="104" t="s">
        <v>79</v>
      </c>
      <c r="D4" s="104" t="s">
        <v>80</v>
      </c>
      <c r="E4" s="104" t="s">
        <v>72</v>
      </c>
      <c r="F4" s="104" t="s">
        <v>73</v>
      </c>
    </row>
    <row r="5" spans="2:6" x14ac:dyDescent="0.25">
      <c r="F5" s="148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71</vt:i4>
      </vt:variant>
    </vt:vector>
  </HeadingPairs>
  <TitlesOfParts>
    <vt:vector size="75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ScratchBrut</vt:lpstr>
      <vt:lpstr>ScratchNet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2023-08-08T23:38:47Z</dcterms:modified>
</cp:coreProperties>
</file>